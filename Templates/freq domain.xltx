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Projects\Synchrometrology\trunk\Uncertainty\Templates\"/>
    </mc:Choice>
  </mc:AlternateContent>
  <bookViews>
    <workbookView xWindow="120" yWindow="90" windowWidth="28200" windowHeight="13710" activeTab="1"/>
  </bookViews>
  <sheets>
    <sheet name="Data" sheetId="1" r:id="rId1"/>
    <sheet name="Plots" sheetId="2" r:id="rId2"/>
    <sheet name="Statistics" sheetId="3" r:id="rId3"/>
  </sheets>
  <calcPr calcId="152511"/>
</workbook>
</file>

<file path=xl/calcChain.xml><?xml version="1.0" encoding="utf-8"?>
<calcChain xmlns="http://schemas.openxmlformats.org/spreadsheetml/2006/main">
  <c r="C2" i="3" l="1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C5" i="3"/>
  <c r="C7" i="3" s="1"/>
  <c r="D5" i="3"/>
  <c r="D7" i="3" s="1"/>
  <c r="E5" i="3"/>
  <c r="E7" i="3" s="1"/>
  <c r="F5" i="3"/>
  <c r="G5" i="3"/>
  <c r="G7" i="3" s="1"/>
  <c r="H5" i="3"/>
  <c r="H7" i="3" s="1"/>
  <c r="I5" i="3"/>
  <c r="I7" i="3" s="1"/>
  <c r="J5" i="3"/>
  <c r="K5" i="3"/>
  <c r="K7" i="3" s="1"/>
  <c r="L5" i="3"/>
  <c r="L7" i="3" s="1"/>
  <c r="M5" i="3"/>
  <c r="M7" i="3" s="1"/>
  <c r="N5" i="3"/>
  <c r="O5" i="3"/>
  <c r="O7" i="3" s="1"/>
  <c r="P5" i="3"/>
  <c r="P7" i="3" s="1"/>
  <c r="Q5" i="3"/>
  <c r="Q7" i="3" s="1"/>
  <c r="R5" i="3"/>
  <c r="S5" i="3"/>
  <c r="S7" i="3" s="1"/>
  <c r="T5" i="3"/>
  <c r="T7" i="3" s="1"/>
  <c r="U5" i="3"/>
  <c r="U7" i="3" s="1"/>
  <c r="V5" i="3"/>
  <c r="W5" i="3"/>
  <c r="W7" i="3" s="1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F7" i="3"/>
  <c r="J7" i="3"/>
  <c r="N7" i="3"/>
  <c r="R7" i="3"/>
  <c r="V7" i="3"/>
  <c r="B6" i="3"/>
  <c r="B5" i="3"/>
  <c r="B7" i="3" s="1"/>
  <c r="B4" i="3"/>
  <c r="B3" i="3"/>
  <c r="B2" i="3"/>
  <c r="E13" i="3"/>
  <c r="M13" i="3"/>
  <c r="O13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B1" i="3"/>
  <c r="P11" i="3" l="1"/>
  <c r="H11" i="3"/>
  <c r="H18" i="3"/>
  <c r="G18" i="3"/>
  <c r="O18" i="3"/>
  <c r="E15" i="3"/>
  <c r="V11" i="3"/>
  <c r="N11" i="3"/>
  <c r="N18" i="3"/>
  <c r="M18" i="3"/>
  <c r="F11" i="3"/>
  <c r="F18" i="3"/>
  <c r="U18" i="3"/>
  <c r="E18" i="3"/>
  <c r="D18" i="3"/>
  <c r="T18" i="3"/>
  <c r="S18" i="3"/>
  <c r="L18" i="3"/>
  <c r="K18" i="3"/>
  <c r="J18" i="3"/>
  <c r="R11" i="3"/>
  <c r="R18" i="3"/>
  <c r="J11" i="3"/>
  <c r="Q18" i="3"/>
  <c r="P18" i="3"/>
  <c r="I18" i="3"/>
  <c r="N13" i="3"/>
  <c r="U11" i="3"/>
  <c r="M11" i="3"/>
  <c r="E11" i="3"/>
  <c r="F13" i="3"/>
  <c r="F15" i="3" s="1"/>
  <c r="T11" i="3"/>
  <c r="L11" i="3"/>
  <c r="D11" i="3"/>
  <c r="S11" i="3"/>
  <c r="Q11" i="3"/>
  <c r="I11" i="3"/>
  <c r="W11" i="3"/>
  <c r="D13" i="3"/>
  <c r="D15" i="3" s="1"/>
  <c r="K11" i="3"/>
  <c r="G11" i="3"/>
  <c r="O11" i="3"/>
</calcChain>
</file>

<file path=xl/sharedStrings.xml><?xml version="1.0" encoding="utf-8"?>
<sst xmlns="http://schemas.openxmlformats.org/spreadsheetml/2006/main" count="13" uniqueCount="13">
  <si>
    <t>Max</t>
  </si>
  <si>
    <t>Min</t>
  </si>
  <si>
    <t>Mean</t>
  </si>
  <si>
    <t>St.Dev.</t>
  </si>
  <si>
    <t>DOF</t>
  </si>
  <si>
    <t>SD mean</t>
  </si>
  <si>
    <t>Student T</t>
  </si>
  <si>
    <t>Type A</t>
  </si>
  <si>
    <t>V Mean</t>
  </si>
  <si>
    <t>I Mean</t>
  </si>
  <si>
    <t>V&amp;I mean</t>
  </si>
  <si>
    <t>95% Conf</t>
  </si>
  <si>
    <t>95% conf
f(ME,PE)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</si>
</sst>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Font="1"/>
    <xf numFmtId="49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Voltage TVE</a:t>
            </a:r>
          </a:p>
        </c:rich>
      </c:tx>
      <c:layout>
        <c:manualLayout>
          <c:xMode val="edge"/>
          <c:yMode val="edge"/>
          <c:x val="0.33889361229581871"/>
          <c:y val="7.344840249724568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944427285945802"/>
          <c:y val="0.12304458086698034"/>
          <c:w val="0.57848856376425839"/>
          <c:h val="0.70613872494729923"/>
        </c:manualLayout>
      </c:layout>
      <c:scatterChart>
        <c:scatterStyle val="lineMarker"/>
        <c:varyColors val="0"/>
        <c:ser>
          <c:idx val="2"/>
          <c:order val="0"/>
          <c:tx>
            <c:strRef>
              <c:f>Data!$I$1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Data!$I:$I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1"/>
          <c:order val="1"/>
          <c:tx>
            <c:strRef>
              <c:f>Data!$F$1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Data!$F:$F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0"/>
          <c:order val="2"/>
          <c:tx>
            <c:strRef>
              <c:f>Data!$C$1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Data!$C:$C</c:f>
              <c:numCache>
                <c:formatCode>General</c:formatCode>
                <c:ptCount val="1048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85064"/>
        <c:axId val="280785848"/>
      </c:scatterChart>
      <c:valAx>
        <c:axId val="280785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aseline="0"/>
                </a:pPr>
                <a:r>
                  <a:rPr lang="en-US" sz="800" baseline="0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800" baseline="0"/>
            </a:pPr>
            <a:endParaRPr lang="en-US"/>
          </a:p>
        </c:txPr>
        <c:crossAx val="280785848"/>
        <c:crosses val="autoZero"/>
        <c:crossBetween val="midCat"/>
      </c:valAx>
      <c:valAx>
        <c:axId val="280785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 baseline="0"/>
                </a:pPr>
                <a:r>
                  <a:rPr lang="en-US" sz="800" baseline="0"/>
                  <a:t>TVE (%)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280785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82108043017316"/>
          <c:y val="0.44085466180480654"/>
          <c:w val="0.23417891956982681"/>
          <c:h val="0.29199556996249504"/>
        </c:manualLayout>
      </c:layout>
      <c:overlay val="0"/>
      <c:txPr>
        <a:bodyPr/>
        <a:lstStyle/>
        <a:p>
          <a:pPr>
            <a:defRPr sz="6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Voltage Mag Error</a:t>
            </a:r>
          </a:p>
        </c:rich>
      </c:tx>
      <c:layout>
        <c:manualLayout>
          <c:xMode val="edge"/>
          <c:yMode val="edge"/>
          <c:x val="0.33889361229581871"/>
          <c:y val="7.344840249724568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944427285945802"/>
          <c:y val="0.12304458086698034"/>
          <c:w val="0.57848856376425839"/>
          <c:h val="0.70613872494729923"/>
        </c:manualLayout>
      </c:layout>
      <c:scatterChart>
        <c:scatterStyle val="lineMarker"/>
        <c:varyColors val="0"/>
        <c:ser>
          <c:idx val="2"/>
          <c:order val="0"/>
          <c:tx>
            <c:strRef>
              <c:f>Data!$J$1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Data!$J:$J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1"/>
          <c:order val="1"/>
          <c:tx>
            <c:strRef>
              <c:f>Data!$G$1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Data!$G:$G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0"/>
          <c:order val="2"/>
          <c:tx>
            <c:strRef>
              <c:f>Data!$D$1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Data!$D:$D</c:f>
              <c:numCache>
                <c:formatCode>General</c:formatCode>
                <c:ptCount val="1048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82320"/>
        <c:axId val="280784280"/>
      </c:scatterChart>
      <c:valAx>
        <c:axId val="28078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aseline="0"/>
                </a:pPr>
                <a:r>
                  <a:rPr lang="en-US" sz="800" baseline="0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800" baseline="0"/>
            </a:pPr>
            <a:endParaRPr lang="en-US"/>
          </a:p>
        </c:txPr>
        <c:crossAx val="280784280"/>
        <c:crosses val="autoZero"/>
        <c:crossBetween val="midCat"/>
      </c:valAx>
      <c:valAx>
        <c:axId val="280784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 baseline="0"/>
                </a:pPr>
                <a:r>
                  <a:rPr lang="en-US" sz="800" baseline="0"/>
                  <a:t>Mag Error (%)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280782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82108043017316"/>
          <c:y val="0.44085466180480654"/>
          <c:w val="0.23417891956982681"/>
          <c:h val="0.29199556996249504"/>
        </c:manualLayout>
      </c:layout>
      <c:overlay val="0"/>
      <c:txPr>
        <a:bodyPr/>
        <a:lstStyle/>
        <a:p>
          <a:pPr>
            <a:defRPr sz="6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Voltage Phase Error</a:t>
            </a:r>
          </a:p>
        </c:rich>
      </c:tx>
      <c:layout>
        <c:manualLayout>
          <c:xMode val="edge"/>
          <c:yMode val="edge"/>
          <c:x val="0.33889361229581871"/>
          <c:y val="7.344840249724568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944427285945802"/>
          <c:y val="0.12304458086698034"/>
          <c:w val="0.57848856376425839"/>
          <c:h val="0.70613872494729923"/>
        </c:manualLayout>
      </c:layout>
      <c:scatterChart>
        <c:scatterStyle val="lineMarker"/>
        <c:varyColors val="0"/>
        <c:ser>
          <c:idx val="2"/>
          <c:order val="0"/>
          <c:tx>
            <c:strRef>
              <c:f>Data!$K$1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Data!$K:$K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1"/>
          <c:order val="1"/>
          <c:tx>
            <c:strRef>
              <c:f>Data!$H$1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Data!$H:$H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0"/>
          <c:order val="2"/>
          <c:tx>
            <c:strRef>
              <c:f>Data!$E$1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Data!$E:$E</c:f>
              <c:numCache>
                <c:formatCode>General</c:formatCode>
                <c:ptCount val="1048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87416"/>
        <c:axId val="280787808"/>
      </c:scatterChart>
      <c:valAx>
        <c:axId val="280787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aseline="0"/>
                </a:pPr>
                <a:r>
                  <a:rPr lang="en-US" sz="800" baseline="0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800" baseline="0"/>
            </a:pPr>
            <a:endParaRPr lang="en-US"/>
          </a:p>
        </c:txPr>
        <c:crossAx val="280787808"/>
        <c:crosses val="autoZero"/>
        <c:crossBetween val="midCat"/>
      </c:valAx>
      <c:valAx>
        <c:axId val="280787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 baseline="0"/>
                </a:pPr>
                <a:r>
                  <a:rPr lang="en-US" sz="800" baseline="0"/>
                  <a:t>Phase Error(%)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280787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82108043017316"/>
          <c:y val="0.44085466180480654"/>
          <c:w val="0.23417891956982681"/>
          <c:h val="0.29199556996249504"/>
        </c:manualLayout>
      </c:layout>
      <c:overlay val="0"/>
      <c:txPr>
        <a:bodyPr/>
        <a:lstStyle/>
        <a:p>
          <a:pPr>
            <a:defRPr sz="6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Current TVE</a:t>
            </a:r>
          </a:p>
        </c:rich>
      </c:tx>
      <c:layout>
        <c:manualLayout>
          <c:xMode val="edge"/>
          <c:yMode val="edge"/>
          <c:x val="0.33889361229581871"/>
          <c:y val="7.344840249724568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944427285945802"/>
          <c:y val="0.12304458086698034"/>
          <c:w val="0.57848856376425839"/>
          <c:h val="0.70613872494729923"/>
        </c:manualLayout>
      </c:layout>
      <c:scatterChart>
        <c:scatterStyle val="lineMarker"/>
        <c:varyColors val="0"/>
        <c:ser>
          <c:idx val="2"/>
          <c:order val="0"/>
          <c:tx>
            <c:strRef>
              <c:f>Data!$R$1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Data!$R:$R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1"/>
          <c:order val="1"/>
          <c:tx>
            <c:strRef>
              <c:f>Data!$O$1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Data!$O:$O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0"/>
          <c:order val="2"/>
          <c:tx>
            <c:strRef>
              <c:f>Data!$L$1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Data!$L:$L</c:f>
              <c:numCache>
                <c:formatCode>General</c:formatCode>
                <c:ptCount val="1048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76832"/>
        <c:axId val="280788984"/>
      </c:scatterChart>
      <c:valAx>
        <c:axId val="280776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aseline="0"/>
                </a:pPr>
                <a:r>
                  <a:rPr lang="en-US" sz="800" baseline="0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800" baseline="0"/>
            </a:pPr>
            <a:endParaRPr lang="en-US"/>
          </a:p>
        </c:txPr>
        <c:crossAx val="280788984"/>
        <c:crosses val="autoZero"/>
        <c:crossBetween val="midCat"/>
      </c:valAx>
      <c:valAx>
        <c:axId val="280788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 baseline="0"/>
                </a:pPr>
                <a:r>
                  <a:rPr lang="en-US" sz="800" baseline="0"/>
                  <a:t>TVE (%)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280776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82108043017316"/>
          <c:y val="0.44085466180480654"/>
          <c:w val="0.23417891956982681"/>
          <c:h val="0.29199556996249504"/>
        </c:manualLayout>
      </c:layout>
      <c:overlay val="0"/>
      <c:txPr>
        <a:bodyPr/>
        <a:lstStyle/>
        <a:p>
          <a:pPr>
            <a:defRPr sz="6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Current Mag Error</a:t>
            </a:r>
          </a:p>
        </c:rich>
      </c:tx>
      <c:layout>
        <c:manualLayout>
          <c:xMode val="edge"/>
          <c:yMode val="edge"/>
          <c:x val="0.33889361229581871"/>
          <c:y val="7.344840249724568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944427285945802"/>
          <c:y val="0.12304458086698034"/>
          <c:w val="0.57848856376425839"/>
          <c:h val="0.70613872494729923"/>
        </c:manualLayout>
      </c:layout>
      <c:scatterChart>
        <c:scatterStyle val="lineMarker"/>
        <c:varyColors val="0"/>
        <c:ser>
          <c:idx val="2"/>
          <c:order val="0"/>
          <c:tx>
            <c:strRef>
              <c:f>Data!$S$1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Data!$S:$S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1"/>
          <c:order val="1"/>
          <c:tx>
            <c:strRef>
              <c:f>Data!$P$1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Data!$P:$P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0"/>
          <c:order val="2"/>
          <c:tx>
            <c:strRef>
              <c:f>Data!$M$1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Data!$M:$M</c:f>
              <c:numCache>
                <c:formatCode>General</c:formatCode>
                <c:ptCount val="1048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89376"/>
        <c:axId val="280790944"/>
      </c:scatterChart>
      <c:valAx>
        <c:axId val="280789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aseline="0"/>
                </a:pPr>
                <a:r>
                  <a:rPr lang="en-US" sz="800" baseline="0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800" baseline="0"/>
            </a:pPr>
            <a:endParaRPr lang="en-US"/>
          </a:p>
        </c:txPr>
        <c:crossAx val="280790944"/>
        <c:crosses val="autoZero"/>
        <c:crossBetween val="midCat"/>
      </c:valAx>
      <c:valAx>
        <c:axId val="28079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 baseline="0"/>
                </a:pPr>
                <a:r>
                  <a:rPr lang="en-US" sz="800" baseline="0"/>
                  <a:t>Mag Error (%)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280789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82108043017316"/>
          <c:y val="0.44085466180480654"/>
          <c:w val="0.23417891956982681"/>
          <c:h val="0.29199556996249504"/>
        </c:manualLayout>
      </c:layout>
      <c:overlay val="0"/>
      <c:txPr>
        <a:bodyPr/>
        <a:lstStyle/>
        <a:p>
          <a:pPr>
            <a:defRPr sz="6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Current Phase Error</a:t>
            </a:r>
          </a:p>
        </c:rich>
      </c:tx>
      <c:layout>
        <c:manualLayout>
          <c:xMode val="edge"/>
          <c:yMode val="edge"/>
          <c:x val="0.33889361229581871"/>
          <c:y val="7.344840249724568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944427285945802"/>
          <c:y val="0.12304458086698034"/>
          <c:w val="0.57848856376425839"/>
          <c:h val="0.70613872494729923"/>
        </c:manualLayout>
      </c:layout>
      <c:scatterChart>
        <c:scatterStyle val="lineMarker"/>
        <c:varyColors val="0"/>
        <c:ser>
          <c:idx val="2"/>
          <c:order val="0"/>
          <c:tx>
            <c:strRef>
              <c:f>Data!$T$1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Data!$T:$T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1"/>
          <c:order val="1"/>
          <c:tx>
            <c:strRef>
              <c:f>Data!$Q$1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Data!$Q:$Q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0"/>
          <c:order val="2"/>
          <c:tx>
            <c:strRef>
              <c:f>Data!$N$1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Data!$N:$N</c:f>
              <c:numCache>
                <c:formatCode>General</c:formatCode>
                <c:ptCount val="1048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92120"/>
        <c:axId val="280789768"/>
      </c:scatterChart>
      <c:valAx>
        <c:axId val="280792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aseline="0"/>
                </a:pPr>
                <a:r>
                  <a:rPr lang="en-US" sz="800" baseline="0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800" baseline="0"/>
            </a:pPr>
            <a:endParaRPr lang="en-US"/>
          </a:p>
        </c:txPr>
        <c:crossAx val="280789768"/>
        <c:crosses val="autoZero"/>
        <c:crossBetween val="midCat"/>
      </c:valAx>
      <c:valAx>
        <c:axId val="280789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 baseline="0"/>
                </a:pPr>
                <a:r>
                  <a:rPr lang="en-US" sz="800" baseline="0"/>
                  <a:t>Mag Error (%)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280792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82108043017316"/>
          <c:y val="0.44085466180480654"/>
          <c:w val="0.23417891956982681"/>
          <c:h val="0.29199556996249504"/>
        </c:manualLayout>
      </c:layout>
      <c:overlay val="0"/>
      <c:txPr>
        <a:bodyPr/>
        <a:lstStyle/>
        <a:p>
          <a:pPr>
            <a:defRPr sz="6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Frequency Error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Data!$U:$U</c:f>
              <c:numCache>
                <c:formatCode>General</c:formatCode>
                <c:ptCount val="1048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90552"/>
        <c:axId val="127256032"/>
      </c:scatterChart>
      <c:valAx>
        <c:axId val="280790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aseline="0"/>
                </a:pPr>
                <a:r>
                  <a:rPr lang="en-US" sz="800" baseline="0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800" baseline="0"/>
            </a:pPr>
            <a:endParaRPr lang="en-US"/>
          </a:p>
        </c:txPr>
        <c:crossAx val="127256032"/>
        <c:crosses val="autoZero"/>
        <c:crossBetween val="midCat"/>
      </c:valAx>
      <c:valAx>
        <c:axId val="127256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 baseline="0"/>
                </a:pPr>
                <a:r>
                  <a:rPr lang="en-US" sz="800" baseline="0"/>
                  <a:t>Frequency Error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28079055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6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ROCOF Error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Data!$V$1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Data!$B$2:$B$35000</c:f>
              <c:numCache>
                <c:formatCode>General</c:formatCode>
                <c:ptCount val="34999"/>
              </c:numCache>
            </c:numRef>
          </c:xVal>
          <c:yVal>
            <c:numRef>
              <c:f>Data!$V:$V</c:f>
              <c:numCache>
                <c:formatCode>General</c:formatCode>
                <c:ptCount val="1048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252504"/>
        <c:axId val="127251328"/>
      </c:scatterChart>
      <c:valAx>
        <c:axId val="127252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aseline="0"/>
                </a:pPr>
                <a:r>
                  <a:rPr lang="en-US" sz="800" baseline="0"/>
                  <a:t>Frequency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800" baseline="0"/>
            </a:pPr>
            <a:endParaRPr lang="en-US"/>
          </a:p>
        </c:txPr>
        <c:crossAx val="127251328"/>
        <c:crosses val="autoZero"/>
        <c:crossBetween val="midCat"/>
      </c:valAx>
      <c:valAx>
        <c:axId val="127251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 baseline="0"/>
                </a:pPr>
                <a:r>
                  <a:rPr lang="en-US" sz="800" baseline="0"/>
                  <a:t>ROCOF Error (Hz/s)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12725250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171450</xdr:rowOff>
    </xdr:from>
    <xdr:to>
      <xdr:col>5</xdr:col>
      <xdr:colOff>9525</xdr:colOff>
      <xdr:row>10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123825</xdr:colOff>
      <xdr:row>0</xdr:row>
      <xdr:rowOff>171450</xdr:rowOff>
    </xdr:from>
    <xdr:to>
      <xdr:col>9</xdr:col>
      <xdr:colOff>590550</xdr:colOff>
      <xdr:row>10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600075</xdr:colOff>
      <xdr:row>10</xdr:row>
      <xdr:rowOff>7620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10</xdr:row>
      <xdr:rowOff>171450</xdr:rowOff>
    </xdr:from>
    <xdr:to>
      <xdr:col>5</xdr:col>
      <xdr:colOff>0</xdr:colOff>
      <xdr:row>20</xdr:row>
      <xdr:rowOff>26670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</xdr:colOff>
      <xdr:row>10</xdr:row>
      <xdr:rowOff>171450</xdr:rowOff>
    </xdr:from>
    <xdr:to>
      <xdr:col>10</xdr:col>
      <xdr:colOff>9525</xdr:colOff>
      <xdr:row>20</xdr:row>
      <xdr:rowOff>26670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114300</xdr:colOff>
      <xdr:row>10</xdr:row>
      <xdr:rowOff>180975</xdr:rowOff>
    </xdr:from>
    <xdr:to>
      <xdr:col>14</xdr:col>
      <xdr:colOff>581025</xdr:colOff>
      <xdr:row>20</xdr:row>
      <xdr:rowOff>19050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104775</xdr:colOff>
      <xdr:row>21</xdr:row>
      <xdr:rowOff>19050</xdr:rowOff>
    </xdr:from>
    <xdr:to>
      <xdr:col>5</xdr:col>
      <xdr:colOff>19050</xdr:colOff>
      <xdr:row>30</xdr:row>
      <xdr:rowOff>81915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123825</xdr:colOff>
      <xdr:row>21</xdr:row>
      <xdr:rowOff>9525</xdr:rowOff>
    </xdr:from>
    <xdr:to>
      <xdr:col>9</xdr:col>
      <xdr:colOff>600075</xdr:colOff>
      <xdr:row>30</xdr:row>
      <xdr:rowOff>43815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XFD1048576"/>
    </sheetView>
  </sheetViews>
  <sheetFormatPr defaultRowHeight="15" x14ac:dyDescent="0.25"/>
  <cols>
    <col min="1" max="1" width="11" bestFit="1" customWidth="1"/>
    <col min="2" max="2" width="10" bestFit="1" customWidth="1"/>
    <col min="3" max="3" width="9.28515625" bestFit="1" customWidth="1"/>
    <col min="4" max="5" width="9.7109375" bestFit="1" customWidth="1"/>
    <col min="7" max="8" width="9.7109375" bestFit="1" customWidth="1"/>
    <col min="10" max="11" width="9.7109375" bestFit="1" customWidth="1"/>
    <col min="12" max="12" width="9" bestFit="1" customWidth="1"/>
    <col min="13" max="14" width="9.7109375" bestFit="1" customWidth="1"/>
    <col min="15" max="15" width="9" bestFit="1" customWidth="1"/>
    <col min="16" max="17" width="9.7109375" bestFit="1" customWidth="1"/>
    <col min="18" max="18" width="9" bestFit="1" customWidth="1"/>
    <col min="19" max="22" width="9.71093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O28" sqref="O2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8"/>
  <sheetViews>
    <sheetView workbookViewId="0">
      <selection activeCell="U18" sqref="U18"/>
    </sheetView>
  </sheetViews>
  <sheetFormatPr defaultRowHeight="15" x14ac:dyDescent="0.25"/>
  <cols>
    <col min="1" max="1" width="9.140625" style="1"/>
  </cols>
  <sheetData>
    <row r="1" spans="1:23" s="2" customFormat="1" x14ac:dyDescent="0.25">
      <c r="B1" s="3">
        <f>Data!A1</f>
        <v>0</v>
      </c>
      <c r="C1" s="3">
        <f>Data!B1</f>
        <v>0</v>
      </c>
      <c r="D1" s="3">
        <f>Data!C1</f>
        <v>0</v>
      </c>
      <c r="E1" s="3">
        <f>Data!D1</f>
        <v>0</v>
      </c>
      <c r="F1" s="3">
        <f>Data!E1</f>
        <v>0</v>
      </c>
      <c r="G1" s="3">
        <f>Data!F1</f>
        <v>0</v>
      </c>
      <c r="H1" s="3">
        <f>Data!G1</f>
        <v>0</v>
      </c>
      <c r="I1" s="3">
        <f>Data!H1</f>
        <v>0</v>
      </c>
      <c r="J1" s="3">
        <f>Data!I1</f>
        <v>0</v>
      </c>
      <c r="K1" s="3">
        <f>Data!J1</f>
        <v>0</v>
      </c>
      <c r="L1" s="3">
        <f>Data!K1</f>
        <v>0</v>
      </c>
      <c r="M1" s="3">
        <f>Data!L1</f>
        <v>0</v>
      </c>
      <c r="N1" s="3">
        <f>Data!M1</f>
        <v>0</v>
      </c>
      <c r="O1" s="3">
        <f>Data!N1</f>
        <v>0</v>
      </c>
      <c r="P1" s="3">
        <f>Data!O1</f>
        <v>0</v>
      </c>
      <c r="Q1" s="3">
        <f>Data!P1</f>
        <v>0</v>
      </c>
      <c r="R1" s="3">
        <f>Data!Q1</f>
        <v>0</v>
      </c>
      <c r="S1" s="3">
        <f>Data!R1</f>
        <v>0</v>
      </c>
      <c r="T1" s="3">
        <f>Data!S1</f>
        <v>0</v>
      </c>
      <c r="U1" s="3">
        <f>Data!T1</f>
        <v>0</v>
      </c>
      <c r="V1" s="3">
        <f>Data!U1</f>
        <v>0</v>
      </c>
      <c r="W1" s="3">
        <f>Data!V1</f>
        <v>0</v>
      </c>
    </row>
    <row r="2" spans="1:23" x14ac:dyDescent="0.25">
      <c r="A2" s="1" t="s">
        <v>0</v>
      </c>
      <c r="B2">
        <f>MAX(Data!A:A)</f>
        <v>0</v>
      </c>
      <c r="C2">
        <f>MAX(Data!B:B)</f>
        <v>0</v>
      </c>
      <c r="D2">
        <f>MAX(Data!C:C)</f>
        <v>0</v>
      </c>
      <c r="E2">
        <f>MAX(Data!D:D)</f>
        <v>0</v>
      </c>
      <c r="F2">
        <f>MAX(Data!E:E)</f>
        <v>0</v>
      </c>
      <c r="G2">
        <f>MAX(Data!F:F)</f>
        <v>0</v>
      </c>
      <c r="H2">
        <f>MAX(Data!G:G)</f>
        <v>0</v>
      </c>
      <c r="I2">
        <f>MAX(Data!H:H)</f>
        <v>0</v>
      </c>
      <c r="J2">
        <f>MAX(Data!I:I)</f>
        <v>0</v>
      </c>
      <c r="K2">
        <f>MAX(Data!J:J)</f>
        <v>0</v>
      </c>
      <c r="L2">
        <f>MAX(Data!K:K)</f>
        <v>0</v>
      </c>
      <c r="M2">
        <f>MAX(Data!L:L)</f>
        <v>0</v>
      </c>
      <c r="N2">
        <f>MAX(Data!M:M)</f>
        <v>0</v>
      </c>
      <c r="O2">
        <f>MAX(Data!N:N)</f>
        <v>0</v>
      </c>
      <c r="P2">
        <f>MAX(Data!O:O)</f>
        <v>0</v>
      </c>
      <c r="Q2">
        <f>MAX(Data!P:P)</f>
        <v>0</v>
      </c>
      <c r="R2">
        <f>MAX(Data!Q:Q)</f>
        <v>0</v>
      </c>
      <c r="S2">
        <f>MAX(Data!R:R)</f>
        <v>0</v>
      </c>
      <c r="T2">
        <f>MAX(Data!S:S)</f>
        <v>0</v>
      </c>
      <c r="U2">
        <f>MAX(Data!T:T)</f>
        <v>0</v>
      </c>
      <c r="V2">
        <f>MAX(Data!U:U)</f>
        <v>0</v>
      </c>
      <c r="W2">
        <f>MAX(Data!V:V)</f>
        <v>0</v>
      </c>
    </row>
    <row r="3" spans="1:23" x14ac:dyDescent="0.25">
      <c r="A3" s="1" t="s">
        <v>1</v>
      </c>
      <c r="B3">
        <f>MIN(Data!A:A)</f>
        <v>0</v>
      </c>
      <c r="C3">
        <f>MIN(Data!B:B)</f>
        <v>0</v>
      </c>
      <c r="D3">
        <f>MIN(Data!C:C)</f>
        <v>0</v>
      </c>
      <c r="E3">
        <f>MIN(Data!D:D)</f>
        <v>0</v>
      </c>
      <c r="F3">
        <f>MIN(Data!E:E)</f>
        <v>0</v>
      </c>
      <c r="G3">
        <f>MIN(Data!F:F)</f>
        <v>0</v>
      </c>
      <c r="H3">
        <f>MIN(Data!G:G)</f>
        <v>0</v>
      </c>
      <c r="I3">
        <f>MIN(Data!H:H)</f>
        <v>0</v>
      </c>
      <c r="J3">
        <f>MIN(Data!I:I)</f>
        <v>0</v>
      </c>
      <c r="K3">
        <f>MIN(Data!J:J)</f>
        <v>0</v>
      </c>
      <c r="L3">
        <f>MIN(Data!K:K)</f>
        <v>0</v>
      </c>
      <c r="M3">
        <f>MIN(Data!L:L)</f>
        <v>0</v>
      </c>
      <c r="N3">
        <f>MIN(Data!M:M)</f>
        <v>0</v>
      </c>
      <c r="O3">
        <f>MIN(Data!N:N)</f>
        <v>0</v>
      </c>
      <c r="P3">
        <f>MIN(Data!O:O)</f>
        <v>0</v>
      </c>
      <c r="Q3">
        <f>MIN(Data!P:P)</f>
        <v>0</v>
      </c>
      <c r="R3">
        <f>MIN(Data!Q:Q)</f>
        <v>0</v>
      </c>
      <c r="S3">
        <f>MIN(Data!R:R)</f>
        <v>0</v>
      </c>
      <c r="T3">
        <f>MIN(Data!S:S)</f>
        <v>0</v>
      </c>
      <c r="U3">
        <f>MIN(Data!T:T)</f>
        <v>0</v>
      </c>
      <c r="V3">
        <f>MIN(Data!U:U)</f>
        <v>0</v>
      </c>
      <c r="W3">
        <f>MIN(Data!V:V)</f>
        <v>0</v>
      </c>
    </row>
    <row r="4" spans="1:23" x14ac:dyDescent="0.25">
      <c r="A4" s="1" t="s">
        <v>2</v>
      </c>
      <c r="B4" t="e">
        <f>AVERAGE(Data!A:A)</f>
        <v>#DIV/0!</v>
      </c>
      <c r="C4" t="e">
        <f>AVERAGE(Data!B:B)</f>
        <v>#DIV/0!</v>
      </c>
      <c r="D4" t="e">
        <f>AVERAGE(Data!C:C)</f>
        <v>#DIV/0!</v>
      </c>
      <c r="E4" t="e">
        <f>AVERAGE(Data!D:D)</f>
        <v>#DIV/0!</v>
      </c>
      <c r="F4" t="e">
        <f>AVERAGE(Data!E:E)</f>
        <v>#DIV/0!</v>
      </c>
      <c r="G4" t="e">
        <f>AVERAGE(Data!F:F)</f>
        <v>#DIV/0!</v>
      </c>
      <c r="H4" t="e">
        <f>AVERAGE(Data!G:G)</f>
        <v>#DIV/0!</v>
      </c>
      <c r="I4" t="e">
        <f>AVERAGE(Data!H:H)</f>
        <v>#DIV/0!</v>
      </c>
      <c r="J4" t="e">
        <f>AVERAGE(Data!I:I)</f>
        <v>#DIV/0!</v>
      </c>
      <c r="K4" t="e">
        <f>AVERAGE(Data!J:J)</f>
        <v>#DIV/0!</v>
      </c>
      <c r="L4" t="e">
        <f>AVERAGE(Data!K:K)</f>
        <v>#DIV/0!</v>
      </c>
      <c r="M4" t="e">
        <f>AVERAGE(Data!L:L)</f>
        <v>#DIV/0!</v>
      </c>
      <c r="N4" t="e">
        <f>AVERAGE(Data!M:M)</f>
        <v>#DIV/0!</v>
      </c>
      <c r="O4" t="e">
        <f>AVERAGE(Data!N:N)</f>
        <v>#DIV/0!</v>
      </c>
      <c r="P4" t="e">
        <f>AVERAGE(Data!O:O)</f>
        <v>#DIV/0!</v>
      </c>
      <c r="Q4" t="e">
        <f>AVERAGE(Data!P:P)</f>
        <v>#DIV/0!</v>
      </c>
      <c r="R4" t="e">
        <f>AVERAGE(Data!Q:Q)</f>
        <v>#DIV/0!</v>
      </c>
      <c r="S4" t="e">
        <f>AVERAGE(Data!R:R)</f>
        <v>#DIV/0!</v>
      </c>
      <c r="T4" t="e">
        <f>AVERAGE(Data!S:S)</f>
        <v>#DIV/0!</v>
      </c>
      <c r="U4" t="e">
        <f>AVERAGE(Data!T:T)</f>
        <v>#DIV/0!</v>
      </c>
      <c r="V4" t="e">
        <f>AVERAGE(Data!U:U)</f>
        <v>#DIV/0!</v>
      </c>
      <c r="W4" t="e">
        <f>AVERAGE(Data!V:V)</f>
        <v>#DIV/0!</v>
      </c>
    </row>
    <row r="5" spans="1:23" x14ac:dyDescent="0.25">
      <c r="A5" s="1" t="s">
        <v>3</v>
      </c>
      <c r="B5" t="e">
        <f>STDEV(Data!A:A)</f>
        <v>#DIV/0!</v>
      </c>
      <c r="C5" t="e">
        <f>STDEV(Data!B:B)</f>
        <v>#DIV/0!</v>
      </c>
      <c r="D5" t="e">
        <f>STDEV(Data!C:C)</f>
        <v>#DIV/0!</v>
      </c>
      <c r="E5" t="e">
        <f>STDEV(Data!D:D)</f>
        <v>#DIV/0!</v>
      </c>
      <c r="F5" t="e">
        <f>STDEV(Data!E:E)</f>
        <v>#DIV/0!</v>
      </c>
      <c r="G5" t="e">
        <f>STDEV(Data!F:F)</f>
        <v>#DIV/0!</v>
      </c>
      <c r="H5" t="e">
        <f>STDEV(Data!G:G)</f>
        <v>#DIV/0!</v>
      </c>
      <c r="I5" t="e">
        <f>STDEV(Data!H:H)</f>
        <v>#DIV/0!</v>
      </c>
      <c r="J5" t="e">
        <f>STDEV(Data!I:I)</f>
        <v>#DIV/0!</v>
      </c>
      <c r="K5" t="e">
        <f>STDEV(Data!J:J)</f>
        <v>#DIV/0!</v>
      </c>
      <c r="L5" t="e">
        <f>STDEV(Data!K:K)</f>
        <v>#DIV/0!</v>
      </c>
      <c r="M5" t="e">
        <f>STDEV(Data!L:L)</f>
        <v>#DIV/0!</v>
      </c>
      <c r="N5" t="e">
        <f>STDEV(Data!M:M)</f>
        <v>#DIV/0!</v>
      </c>
      <c r="O5" t="e">
        <f>STDEV(Data!N:N)</f>
        <v>#DIV/0!</v>
      </c>
      <c r="P5" t="e">
        <f>STDEV(Data!O:O)</f>
        <v>#DIV/0!</v>
      </c>
      <c r="Q5" t="e">
        <f>STDEV(Data!P:P)</f>
        <v>#DIV/0!</v>
      </c>
      <c r="R5" t="e">
        <f>STDEV(Data!Q:Q)</f>
        <v>#DIV/0!</v>
      </c>
      <c r="S5" t="e">
        <f>STDEV(Data!R:R)</f>
        <v>#DIV/0!</v>
      </c>
      <c r="T5" t="e">
        <f>STDEV(Data!S:S)</f>
        <v>#DIV/0!</v>
      </c>
      <c r="U5" t="e">
        <f>STDEV(Data!T:T)</f>
        <v>#DIV/0!</v>
      </c>
      <c r="V5" t="e">
        <f>STDEV(Data!U:U)</f>
        <v>#DIV/0!</v>
      </c>
      <c r="W5" t="e">
        <f>STDEV(Data!V:V)</f>
        <v>#DIV/0!</v>
      </c>
    </row>
    <row r="6" spans="1:23" x14ac:dyDescent="0.25">
      <c r="A6" s="1" t="s">
        <v>4</v>
      </c>
      <c r="B6">
        <f>COUNTA(Data!A:A)-1</f>
        <v>-1</v>
      </c>
      <c r="C6">
        <f>COUNTA(Data!B:B)-1</f>
        <v>-1</v>
      </c>
      <c r="D6">
        <f>COUNTA(Data!C:C)-1</f>
        <v>-1</v>
      </c>
      <c r="E6">
        <f>COUNTA(Data!D:D)-1</f>
        <v>-1</v>
      </c>
      <c r="F6">
        <f>COUNTA(Data!E:E)-1</f>
        <v>-1</v>
      </c>
      <c r="G6">
        <f>COUNTA(Data!F:F)-1</f>
        <v>-1</v>
      </c>
      <c r="H6">
        <f>COUNTA(Data!G:G)-1</f>
        <v>-1</v>
      </c>
      <c r="I6">
        <f>COUNTA(Data!H:H)-1</f>
        <v>-1</v>
      </c>
      <c r="J6">
        <f>COUNTA(Data!I:I)-1</f>
        <v>-1</v>
      </c>
      <c r="K6">
        <f>COUNTA(Data!J:J)-1</f>
        <v>-1</v>
      </c>
      <c r="L6">
        <f>COUNTA(Data!K:K)-1</f>
        <v>-1</v>
      </c>
      <c r="M6">
        <f>COUNTA(Data!L:L)-1</f>
        <v>-1</v>
      </c>
      <c r="N6">
        <f>COUNTA(Data!M:M)-1</f>
        <v>-1</v>
      </c>
      <c r="O6">
        <f>COUNTA(Data!N:N)-1</f>
        <v>-1</v>
      </c>
      <c r="P6">
        <f>COUNTA(Data!O:O)-1</f>
        <v>-1</v>
      </c>
      <c r="Q6">
        <f>COUNTA(Data!P:P)-1</f>
        <v>-1</v>
      </c>
      <c r="R6">
        <f>COUNTA(Data!Q:Q)-1</f>
        <v>-1</v>
      </c>
      <c r="S6">
        <f>COUNTA(Data!R:R)-1</f>
        <v>-1</v>
      </c>
      <c r="T6">
        <f>COUNTA(Data!S:S)-1</f>
        <v>-1</v>
      </c>
      <c r="U6">
        <f>COUNTA(Data!T:T)-1</f>
        <v>-1</v>
      </c>
      <c r="V6">
        <f>COUNTA(Data!U:U)-1</f>
        <v>-1</v>
      </c>
      <c r="W6">
        <f>COUNTA(Data!V:V)-1</f>
        <v>-1</v>
      </c>
    </row>
    <row r="7" spans="1:23" x14ac:dyDescent="0.25">
      <c r="A7" s="1" t="s">
        <v>5</v>
      </c>
      <c r="B7" t="e">
        <f>B5/SQRT(Data!B6+1)</f>
        <v>#DIV/0!</v>
      </c>
      <c r="C7" t="e">
        <f>C5/SQRT(Data!C6+1)</f>
        <v>#DIV/0!</v>
      </c>
      <c r="D7" t="e">
        <f>D5/SQRT(Data!D6+1)</f>
        <v>#DIV/0!</v>
      </c>
      <c r="E7" t="e">
        <f>E5/SQRT(Data!E6+1)</f>
        <v>#DIV/0!</v>
      </c>
      <c r="F7" t="e">
        <f>F5/SQRT(Data!F6+1)</f>
        <v>#DIV/0!</v>
      </c>
      <c r="G7" t="e">
        <f>G5/SQRT(Data!G6+1)</f>
        <v>#DIV/0!</v>
      </c>
      <c r="H7" t="e">
        <f>H5/SQRT(Data!H6+1)</f>
        <v>#DIV/0!</v>
      </c>
      <c r="I7" t="e">
        <f>I5/SQRT(Data!I6+1)</f>
        <v>#DIV/0!</v>
      </c>
      <c r="J7" t="e">
        <f>J5/SQRT(Data!J6+1)</f>
        <v>#DIV/0!</v>
      </c>
      <c r="K7" t="e">
        <f>K5/SQRT(Data!K6+1)</f>
        <v>#DIV/0!</v>
      </c>
      <c r="L7" t="e">
        <f>L5/SQRT(Data!L6+1)</f>
        <v>#DIV/0!</v>
      </c>
      <c r="M7" t="e">
        <f>M5/SQRT(Data!M6+1)</f>
        <v>#DIV/0!</v>
      </c>
      <c r="N7" t="e">
        <f>N5/SQRT(Data!N6+1)</f>
        <v>#DIV/0!</v>
      </c>
      <c r="O7" t="e">
        <f>O5/SQRT(Data!O6+1)</f>
        <v>#DIV/0!</v>
      </c>
      <c r="P7" t="e">
        <f>P5/SQRT(Data!P6+1)</f>
        <v>#DIV/0!</v>
      </c>
      <c r="Q7" t="e">
        <f>Q5/SQRT(Data!Q6+1)</f>
        <v>#DIV/0!</v>
      </c>
      <c r="R7" t="e">
        <f>R5/SQRT(Data!R6+1)</f>
        <v>#DIV/0!</v>
      </c>
      <c r="S7" t="e">
        <f>S5/SQRT(Data!S6+1)</f>
        <v>#DIV/0!</v>
      </c>
      <c r="T7" t="e">
        <f>T5/SQRT(Data!T6+1)</f>
        <v>#DIV/0!</v>
      </c>
      <c r="U7" t="e">
        <f>U5/SQRT(Data!U6+1)</f>
        <v>#DIV/0!</v>
      </c>
      <c r="V7" t="e">
        <f>V5/SQRT(Data!V6+1)</f>
        <v>#DIV/0!</v>
      </c>
      <c r="W7" t="e">
        <f>W5/SQRT(Data!W6+1)</f>
        <v>#DIV/0!</v>
      </c>
    </row>
    <row r="8" spans="1:23" hidden="1" x14ac:dyDescent="0.25">
      <c r="A8" s="1" t="s">
        <v>6</v>
      </c>
    </row>
    <row r="9" spans="1:23" hidden="1" x14ac:dyDescent="0.25">
      <c r="A9" s="1" t="s">
        <v>7</v>
      </c>
    </row>
    <row r="11" spans="1:23" s="5" customFormat="1" x14ac:dyDescent="0.25">
      <c r="A11" s="4" t="s">
        <v>11</v>
      </c>
      <c r="D11" s="6" t="e">
        <f>D4+(2*D5)</f>
        <v>#DIV/0!</v>
      </c>
      <c r="E11" s="6" t="e">
        <f t="shared" ref="E11:W11" si="0">E4+(2*E5)</f>
        <v>#DIV/0!</v>
      </c>
      <c r="F11" s="6" t="e">
        <f t="shared" si="0"/>
        <v>#DIV/0!</v>
      </c>
      <c r="G11" s="6" t="e">
        <f t="shared" si="0"/>
        <v>#DIV/0!</v>
      </c>
      <c r="H11" s="6" t="e">
        <f t="shared" si="0"/>
        <v>#DIV/0!</v>
      </c>
      <c r="I11" s="6" t="e">
        <f t="shared" si="0"/>
        <v>#DIV/0!</v>
      </c>
      <c r="J11" s="6" t="e">
        <f t="shared" si="0"/>
        <v>#DIV/0!</v>
      </c>
      <c r="K11" s="6" t="e">
        <f t="shared" si="0"/>
        <v>#DIV/0!</v>
      </c>
      <c r="L11" s="6" t="e">
        <f t="shared" si="0"/>
        <v>#DIV/0!</v>
      </c>
      <c r="M11" s="6" t="e">
        <f t="shared" si="0"/>
        <v>#DIV/0!</v>
      </c>
      <c r="N11" s="6" t="e">
        <f t="shared" si="0"/>
        <v>#DIV/0!</v>
      </c>
      <c r="O11" s="6" t="e">
        <f t="shared" si="0"/>
        <v>#DIV/0!</v>
      </c>
      <c r="P11" s="6" t="e">
        <f t="shared" si="0"/>
        <v>#DIV/0!</v>
      </c>
      <c r="Q11" s="6" t="e">
        <f t="shared" si="0"/>
        <v>#DIV/0!</v>
      </c>
      <c r="R11" s="6" t="e">
        <f t="shared" si="0"/>
        <v>#DIV/0!</v>
      </c>
      <c r="S11" s="6" t="e">
        <f t="shared" si="0"/>
        <v>#DIV/0!</v>
      </c>
      <c r="T11" s="6" t="e">
        <f t="shared" si="0"/>
        <v>#DIV/0!</v>
      </c>
      <c r="U11" s="6" t="e">
        <f t="shared" si="0"/>
        <v>#DIV/0!</v>
      </c>
      <c r="V11" s="6" t="e">
        <f t="shared" si="0"/>
        <v>#DIV/0!</v>
      </c>
      <c r="W11" s="6" t="e">
        <f t="shared" si="0"/>
        <v>#DIV/0!</v>
      </c>
    </row>
    <row r="12" spans="1:23" s="5" customFormat="1" x14ac:dyDescent="0.25">
      <c r="A12" s="4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1:23" x14ac:dyDescent="0.25">
      <c r="C13" s="1" t="s">
        <v>8</v>
      </c>
      <c r="D13" t="e">
        <f>AVERAGE(D4,G4,J4)</f>
        <v>#DIV/0!</v>
      </c>
      <c r="E13" t="e">
        <f t="shared" ref="E13:F13" si="1">AVERAGE(E4,H4,K4)</f>
        <v>#DIV/0!</v>
      </c>
      <c r="F13" t="e">
        <f t="shared" si="1"/>
        <v>#DIV/0!</v>
      </c>
      <c r="L13" t="s">
        <v>9</v>
      </c>
      <c r="M13" t="e">
        <f>AVERAGE(M4,P4,S4)</f>
        <v>#DIV/0!</v>
      </c>
      <c r="N13" t="e">
        <f t="shared" ref="N13" si="2">AVERAGE(N4,Q4,T4)</f>
        <v>#DIV/0!</v>
      </c>
      <c r="O13" t="e">
        <f t="shared" ref="O13" si="3">AVERAGE(O4,R4,U4)</f>
        <v>#DIV/0!</v>
      </c>
    </row>
    <row r="15" spans="1:23" x14ac:dyDescent="0.25">
      <c r="C15" s="1" t="s">
        <v>10</v>
      </c>
      <c r="D15" t="e">
        <f>AVERAGE(D13,M13)</f>
        <v>#DIV/0!</v>
      </c>
      <c r="E15" t="e">
        <f t="shared" ref="E15:F15" si="4">AVERAGE(E13,N13)</f>
        <v>#DIV/0!</v>
      </c>
      <c r="F15" t="e">
        <f t="shared" si="4"/>
        <v>#DIV/0!</v>
      </c>
    </row>
    <row r="18" spans="1:21" s="5" customFormat="1" ht="30" x14ac:dyDescent="0.25">
      <c r="A18" s="7" t="s">
        <v>12</v>
      </c>
      <c r="D18" s="6" t="e">
        <f>((E4^2+F4^2)^0.5)+(2*(E5^2+F5^2)^0.5)</f>
        <v>#DIV/0!</v>
      </c>
      <c r="E18" s="6" t="e">
        <f>E4+(2*E5)</f>
        <v>#DIV/0!</v>
      </c>
      <c r="F18" s="6" t="e">
        <f>F4+(2*F5)</f>
        <v>#DIV/0!</v>
      </c>
      <c r="G18" s="6" t="e">
        <f>((H4^2+I4^2)^0.5)+(2*(H5^2+I5^2)^0.5)</f>
        <v>#DIV/0!</v>
      </c>
      <c r="H18" s="6" t="e">
        <f>H4+(2*H5)</f>
        <v>#DIV/0!</v>
      </c>
      <c r="I18" s="6" t="e">
        <f>I4+(2*I5)</f>
        <v>#DIV/0!</v>
      </c>
      <c r="J18" s="6" t="e">
        <f>((K4^2+L4^2)^0.5)+(2*(K5^2+L5^2)^0.5)</f>
        <v>#DIV/0!</v>
      </c>
      <c r="K18" s="6" t="e">
        <f>K4+(2*K5)</f>
        <v>#DIV/0!</v>
      </c>
      <c r="L18" s="6" t="e">
        <f>L4+(2*L5)</f>
        <v>#DIV/0!</v>
      </c>
      <c r="M18" s="6" t="e">
        <f>((N4^2+O4^2)^0.5)+(2*(N5^2+O5^2)^0.5)</f>
        <v>#DIV/0!</v>
      </c>
      <c r="N18" s="6" t="e">
        <f>N4+(2*N5)</f>
        <v>#DIV/0!</v>
      </c>
      <c r="O18" s="6" t="e">
        <f>O4+(2*O5)</f>
        <v>#DIV/0!</v>
      </c>
      <c r="P18" s="6" t="e">
        <f>((Q4^2+R4^2)^0.5)+(2*(Q5^2+R5^2)^0.5)</f>
        <v>#DIV/0!</v>
      </c>
      <c r="Q18" s="6" t="e">
        <f>Q4+(2*Q5)</f>
        <v>#DIV/0!</v>
      </c>
      <c r="R18" s="6" t="e">
        <f>R4+(2*R5)</f>
        <v>#DIV/0!</v>
      </c>
      <c r="S18" s="6" t="e">
        <f>((T4^2+U4^2)^0.5)+(2*(T5^2+U5^2)^0.5)</f>
        <v>#DIV/0!</v>
      </c>
      <c r="T18" s="6" t="e">
        <f>T4+(2*T5)</f>
        <v>#DIV/0!</v>
      </c>
      <c r="U18" s="6" t="e">
        <f>U4+(2*U5)</f>
        <v>#DIV/0!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Plots</vt:lpstr>
      <vt:lpstr>Statistics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 Goldstein</dc:creator>
  <cp:lastModifiedBy>AR Gold</cp:lastModifiedBy>
  <dcterms:created xsi:type="dcterms:W3CDTF">2013-08-13T16:02:29Z</dcterms:created>
  <dcterms:modified xsi:type="dcterms:W3CDTF">2015-02-09T19:44:24Z</dcterms:modified>
</cp:coreProperties>
</file>