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updateLinks="never" defaultThemeVersion="124226"/>
  <bookViews>
    <workbookView xWindow="240" yWindow="105" windowWidth="14805" windowHeight="8010" tabRatio="773"/>
  </bookViews>
  <sheets>
    <sheet name="FreqRng" sheetId="4" r:id="rId1"/>
    <sheet name="MagRng" sheetId="6" r:id="rId2"/>
    <sheet name="Harmonics" sheetId="7" r:id="rId3"/>
    <sheet name="OOB" sheetId="11" r:id="rId4"/>
    <sheet name="FreqRamp Pos" sheetId="8" r:id="rId5"/>
    <sheet name="FreqRamp Neg" sheetId="18" r:id="rId6"/>
    <sheet name="PM" sheetId="9" r:id="rId7"/>
    <sheet name="AM" sheetId="5" r:id="rId8"/>
    <sheet name="Phase Step Pos" sheetId="14" r:id="rId9"/>
    <sheet name="Phase Step Neg" sheetId="16" r:id="rId10"/>
    <sheet name="Mag Step Pos" sheetId="15" r:id="rId11"/>
    <sheet name="Mag Step Neg" sheetId="17" r:id="rId12"/>
    <sheet name="TypeB" sheetId="10" r:id="rId13"/>
  </sheets>
  <calcPr calcId="152511"/>
</workbook>
</file>

<file path=xl/calcChain.xml><?xml version="1.0" encoding="utf-8"?>
<calcChain xmlns="http://schemas.openxmlformats.org/spreadsheetml/2006/main">
  <c r="AA20" i="17" l="1"/>
  <c r="Z20" i="17"/>
  <c r="Y20" i="17"/>
  <c r="X20" i="17"/>
  <c r="W20" i="17" s="1"/>
  <c r="V20" i="17"/>
  <c r="U20" i="17"/>
  <c r="T20" i="17"/>
  <c r="S20" i="17"/>
  <c r="R20" i="17"/>
  <c r="Q20" i="17" s="1"/>
  <c r="P20" i="17"/>
  <c r="N20" i="17" s="1"/>
  <c r="O20" i="17"/>
  <c r="M20" i="17"/>
  <c r="L20" i="17"/>
  <c r="K20" i="17" s="1"/>
  <c r="J20" i="17"/>
  <c r="H20" i="17" s="1"/>
  <c r="I20" i="17"/>
  <c r="G20" i="17"/>
  <c r="F20" i="17"/>
  <c r="E20" i="17" s="1"/>
  <c r="D20" i="17"/>
  <c r="B20" i="17" s="1"/>
  <c r="C20" i="17"/>
  <c r="AA20" i="15"/>
  <c r="Z20" i="15"/>
  <c r="Y20" i="15"/>
  <c r="X20" i="15"/>
  <c r="W20" i="15" s="1"/>
  <c r="V20" i="15"/>
  <c r="U20" i="15"/>
  <c r="T20" i="15" s="1"/>
  <c r="S20" i="15"/>
  <c r="R20" i="15"/>
  <c r="Q20" i="15" s="1"/>
  <c r="P20" i="15"/>
  <c r="O20" i="15"/>
  <c r="N20" i="15"/>
  <c r="M20" i="15"/>
  <c r="L20" i="15"/>
  <c r="K20" i="15"/>
  <c r="J20" i="15"/>
  <c r="H20" i="15" s="1"/>
  <c r="I20" i="15"/>
  <c r="G20" i="15"/>
  <c r="F20" i="15"/>
  <c r="E20" i="15" s="1"/>
  <c r="D20" i="15"/>
  <c r="C20" i="15"/>
  <c r="B20" i="15"/>
  <c r="AA20" i="16"/>
  <c r="Z20" i="16"/>
  <c r="Y20" i="16"/>
  <c r="X20" i="16"/>
  <c r="W20" i="16" s="1"/>
  <c r="V20" i="16"/>
  <c r="U20" i="16"/>
  <c r="T20" i="16"/>
  <c r="S20" i="16"/>
  <c r="R20" i="16"/>
  <c r="Q20" i="16" s="1"/>
  <c r="P20" i="16"/>
  <c r="O20" i="16"/>
  <c r="N20" i="16" s="1"/>
  <c r="M20" i="16"/>
  <c r="L20" i="16"/>
  <c r="K20" i="16" s="1"/>
  <c r="J20" i="16"/>
  <c r="H20" i="16" s="1"/>
  <c r="I20" i="16"/>
  <c r="G20" i="16"/>
  <c r="F20" i="16"/>
  <c r="E20" i="16" s="1"/>
  <c r="D20" i="16"/>
  <c r="B20" i="16" s="1"/>
  <c r="C20" i="16"/>
  <c r="AA20" i="14"/>
  <c r="Z20" i="14"/>
  <c r="Y20" i="14"/>
  <c r="X20" i="14"/>
  <c r="W20" i="14" s="1"/>
  <c r="V20" i="14"/>
  <c r="T20" i="14" s="1"/>
  <c r="U20" i="14"/>
  <c r="S20" i="14"/>
  <c r="R20" i="14"/>
  <c r="Q20" i="14" s="1"/>
  <c r="P20" i="14"/>
  <c r="O20" i="14"/>
  <c r="N20" i="14"/>
  <c r="M20" i="14"/>
  <c r="L20" i="14"/>
  <c r="K20" i="14" s="1"/>
  <c r="J20" i="14"/>
  <c r="H20" i="14" s="1"/>
  <c r="I20" i="14"/>
  <c r="G20" i="14"/>
  <c r="F20" i="14"/>
  <c r="E20" i="14" s="1"/>
  <c r="D20" i="14"/>
  <c r="B20" i="14" s="1"/>
  <c r="C20" i="14"/>
  <c r="AA20" i="5"/>
  <c r="Z20" i="5"/>
  <c r="Y20" i="5"/>
  <c r="X20" i="5"/>
  <c r="W20" i="5" s="1"/>
  <c r="V20" i="5"/>
  <c r="U20" i="5"/>
  <c r="T20" i="5"/>
  <c r="S20" i="5"/>
  <c r="R20" i="5"/>
  <c r="Q20" i="5"/>
  <c r="P20" i="5"/>
  <c r="N20" i="5" s="1"/>
  <c r="O20" i="5"/>
  <c r="M20" i="5"/>
  <c r="L20" i="5"/>
  <c r="K20" i="5" s="1"/>
  <c r="J20" i="5"/>
  <c r="I20" i="5"/>
  <c r="H20" i="5" s="1"/>
  <c r="G20" i="5"/>
  <c r="F20" i="5"/>
  <c r="E20" i="5"/>
  <c r="D20" i="5"/>
  <c r="C20" i="5"/>
  <c r="B20" i="5" s="1"/>
  <c r="AA20" i="9"/>
  <c r="Z20" i="9"/>
  <c r="Y20" i="9"/>
  <c r="X20" i="9"/>
  <c r="W20" i="9" s="1"/>
  <c r="V20" i="9"/>
  <c r="T20" i="9" s="1"/>
  <c r="U20" i="9"/>
  <c r="S20" i="9"/>
  <c r="R20" i="9"/>
  <c r="Q20" i="9" s="1"/>
  <c r="P20" i="9"/>
  <c r="O20" i="9"/>
  <c r="N20" i="9"/>
  <c r="M20" i="9"/>
  <c r="L20" i="9"/>
  <c r="K20" i="9" s="1"/>
  <c r="J20" i="9"/>
  <c r="H20" i="9" s="1"/>
  <c r="I20" i="9"/>
  <c r="G20" i="9"/>
  <c r="F20" i="9"/>
  <c r="E20" i="9" s="1"/>
  <c r="D20" i="9"/>
  <c r="B20" i="9" s="1"/>
  <c r="C20" i="9"/>
  <c r="AA20" i="18"/>
  <c r="Z20" i="18"/>
  <c r="Y20" i="18"/>
  <c r="X20" i="18"/>
  <c r="W20" i="18" s="1"/>
  <c r="V20" i="18"/>
  <c r="U20" i="18"/>
  <c r="T20" i="18"/>
  <c r="S20" i="18"/>
  <c r="Q20" i="18" s="1"/>
  <c r="R20" i="18"/>
  <c r="P20" i="18"/>
  <c r="O20" i="18"/>
  <c r="N20" i="18" s="1"/>
  <c r="M20" i="18"/>
  <c r="L20" i="18"/>
  <c r="K20" i="18" s="1"/>
  <c r="J20" i="18"/>
  <c r="I20" i="18"/>
  <c r="H20" i="18" s="1"/>
  <c r="G20" i="18"/>
  <c r="F20" i="18"/>
  <c r="E20" i="18"/>
  <c r="D20" i="18"/>
  <c r="C20" i="18"/>
  <c r="B20" i="18" s="1"/>
  <c r="AA20" i="8"/>
  <c r="Z20" i="8"/>
  <c r="Y20" i="8"/>
  <c r="X20" i="8"/>
  <c r="W20" i="8" s="1"/>
  <c r="V20" i="8"/>
  <c r="U20" i="8"/>
  <c r="T20" i="8"/>
  <c r="S20" i="8"/>
  <c r="R20" i="8"/>
  <c r="Q20" i="8" s="1"/>
  <c r="P20" i="8"/>
  <c r="N20" i="8" s="1"/>
  <c r="O20" i="8"/>
  <c r="M20" i="8"/>
  <c r="L20" i="8"/>
  <c r="K20" i="8" s="1"/>
  <c r="J20" i="8"/>
  <c r="H20" i="8" s="1"/>
  <c r="I20" i="8"/>
  <c r="G20" i="8"/>
  <c r="F20" i="8"/>
  <c r="E20" i="8" s="1"/>
  <c r="D20" i="8"/>
  <c r="B20" i="8" s="1"/>
  <c r="C20" i="8"/>
  <c r="AA20" i="11"/>
  <c r="Z20" i="11"/>
  <c r="Y20" i="11"/>
  <c r="X20" i="11"/>
  <c r="W20" i="11" s="1"/>
  <c r="V20" i="11"/>
  <c r="U20" i="11"/>
  <c r="T20" i="11"/>
  <c r="S20" i="11"/>
  <c r="Q20" i="11" s="1"/>
  <c r="R20" i="11"/>
  <c r="P20" i="11"/>
  <c r="O20" i="11"/>
  <c r="N20" i="11" s="1"/>
  <c r="M20" i="11"/>
  <c r="L20" i="11"/>
  <c r="K20" i="11" s="1"/>
  <c r="J20" i="11"/>
  <c r="I20" i="11"/>
  <c r="H20" i="11"/>
  <c r="G20" i="11"/>
  <c r="F20" i="11"/>
  <c r="E20" i="11"/>
  <c r="D20" i="11"/>
  <c r="C20" i="11"/>
  <c r="B20" i="11" s="1"/>
  <c r="AA20" i="7"/>
  <c r="Z20" i="7"/>
  <c r="Y20" i="7"/>
  <c r="X20" i="7"/>
  <c r="W20" i="7" s="1"/>
  <c r="V20" i="7"/>
  <c r="T20" i="7" s="1"/>
  <c r="U20" i="7"/>
  <c r="S20" i="7"/>
  <c r="Q20" i="7" s="1"/>
  <c r="R20" i="7"/>
  <c r="P20" i="7"/>
  <c r="O20" i="7"/>
  <c r="N20" i="7"/>
  <c r="M20" i="7"/>
  <c r="L20" i="7"/>
  <c r="K20" i="7"/>
  <c r="J20" i="7"/>
  <c r="I20" i="7"/>
  <c r="H20" i="7" s="1"/>
  <c r="G20" i="7"/>
  <c r="F20" i="7"/>
  <c r="E20" i="7" s="1"/>
  <c r="D20" i="7"/>
  <c r="C20" i="7"/>
  <c r="B20" i="7" s="1"/>
  <c r="AA20" i="6"/>
  <c r="Z20" i="6"/>
  <c r="Y20" i="6"/>
  <c r="X20" i="6"/>
  <c r="W20" i="6" s="1"/>
  <c r="V20" i="6"/>
  <c r="T20" i="6" s="1"/>
  <c r="U20" i="6"/>
  <c r="S20" i="6"/>
  <c r="R20" i="6"/>
  <c r="Q20" i="6"/>
  <c r="P20" i="6"/>
  <c r="O20" i="6"/>
  <c r="N20" i="6"/>
  <c r="M20" i="6"/>
  <c r="L20" i="6"/>
  <c r="K20" i="6" s="1"/>
  <c r="J20" i="6"/>
  <c r="I20" i="6"/>
  <c r="H20" i="6" s="1"/>
  <c r="G20" i="6"/>
  <c r="F20" i="6"/>
  <c r="E20" i="6" s="1"/>
  <c r="D20" i="6"/>
  <c r="C20" i="6"/>
  <c r="B20" i="6"/>
  <c r="Y20" i="4"/>
  <c r="X20" i="4"/>
  <c r="V20" i="4"/>
  <c r="S20" i="4"/>
  <c r="P20" i="4"/>
  <c r="M20" i="4"/>
  <c r="K20" i="4" s="1"/>
  <c r="J20" i="4"/>
  <c r="H20" i="4" s="1"/>
  <c r="G20" i="4"/>
  <c r="E20" i="4" s="1"/>
  <c r="D20" i="4"/>
  <c r="B20" i="4" s="1"/>
  <c r="U20" i="4"/>
  <c r="R20" i="4"/>
  <c r="O20" i="4"/>
  <c r="L20" i="4"/>
  <c r="I20" i="4"/>
  <c r="F20" i="4"/>
  <c r="C20" i="4"/>
  <c r="W20" i="4" l="1"/>
  <c r="T20" i="4"/>
  <c r="Q20" i="4"/>
  <c r="N20" i="4"/>
  <c r="AA20" i="4" l="1"/>
  <c r="Z20" i="4"/>
  <c r="H6" i="10" l="1"/>
  <c r="B6" i="10" s="1"/>
  <c r="H7" i="10"/>
  <c r="B7" i="10" s="1"/>
  <c r="H5" i="10"/>
  <c r="B5" i="10" s="1"/>
  <c r="H3" i="10"/>
  <c r="B3" i="10" s="1"/>
  <c r="H4" i="10"/>
  <c r="B4" i="10" s="1"/>
  <c r="H2" i="10"/>
  <c r="B2" i="10" s="1"/>
</calcChain>
</file>

<file path=xl/sharedStrings.xml><?xml version="1.0" encoding="utf-8"?>
<sst xmlns="http://schemas.openxmlformats.org/spreadsheetml/2006/main" count="340" uniqueCount="43">
  <si>
    <t>IC</t>
  </si>
  <si>
    <t>IB</t>
  </si>
  <si>
    <t>IA</t>
  </si>
  <si>
    <t>VC</t>
  </si>
  <si>
    <t>VB</t>
  </si>
  <si>
    <t>VA</t>
  </si>
  <si>
    <t>CT gain uncertainty</t>
  </si>
  <si>
    <t>Sin (delay uncertainty)</t>
  </si>
  <si>
    <t>HP3458 RMS uncertainty</t>
  </si>
  <si>
    <t xml:space="preserve">gain factor uncertainty </t>
  </si>
  <si>
    <t>Column1</t>
  </si>
  <si>
    <t>Total % TVE</t>
  </si>
  <si>
    <t>Phase</t>
  </si>
  <si>
    <t>Combined
Type A Type B</t>
  </si>
  <si>
    <t>Delay Estimate</t>
  </si>
  <si>
    <t>F0</t>
  </si>
  <si>
    <t>Dly Est</t>
  </si>
  <si>
    <t>VA TVE (%)</t>
  </si>
  <si>
    <t>VB TVE (%)</t>
  </si>
  <si>
    <t>VC TVE (%)</t>
  </si>
  <si>
    <t>IA TVE (%)</t>
  </si>
  <si>
    <t>IC TVE (%)</t>
  </si>
  <si>
    <t>V+ TVE (%)</t>
  </si>
  <si>
    <t>FE (Hz)</t>
  </si>
  <si>
    <t>RFE (Hz/s)</t>
  </si>
  <si>
    <t>VA ME %</t>
  </si>
  <si>
    <t>VA PE (%)</t>
  </si>
  <si>
    <t>VB ME (%)</t>
  </si>
  <si>
    <t>VB PE (%)</t>
  </si>
  <si>
    <t>VC ME (%)</t>
  </si>
  <si>
    <t>VC PE (%)</t>
  </si>
  <si>
    <t>IA ME (%)</t>
  </si>
  <si>
    <t>IA PE %</t>
  </si>
  <si>
    <t>IB TVE (%)</t>
  </si>
  <si>
    <t>IC ME (%)</t>
  </si>
  <si>
    <t>IB PE %</t>
  </si>
  <si>
    <t>IB ME (%)</t>
  </si>
  <si>
    <t>IC PE (%)</t>
  </si>
  <si>
    <t>V+ ME (%)</t>
  </si>
  <si>
    <t>V+ PE (%)</t>
  </si>
  <si>
    <t>I+ TVE (%)</t>
  </si>
  <si>
    <t>I+ ME (%)</t>
  </si>
  <si>
    <t>I+ PE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</si>
</sst>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%"/>
    <numFmt numFmtId="166" formatCode="0.00000"/>
    <numFmt numFmtId="167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Font="1"/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Font="1"/>
    <xf numFmtId="49" fontId="0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0" applyNumberFormat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1" fontId="1" fillId="0" borderId="8" xfId="0" applyNumberFormat="1" applyFont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0" fontId="1" fillId="0" borderId="8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166" fontId="0" fillId="0" borderId="0" xfId="0" applyNumberFormat="1"/>
    <xf numFmtId="164" fontId="1" fillId="0" borderId="0" xfId="0" applyNumberFormat="1" applyFont="1" applyAlignment="1">
      <alignment wrapText="1"/>
    </xf>
    <xf numFmtId="0" fontId="0" fillId="0" borderId="0" xfId="0" applyAlignment="1">
      <alignment wrapText="1"/>
    </xf>
    <xf numFmtId="48" fontId="0" fillId="0" borderId="0" xfId="0" applyNumberFormat="1" applyAlignment="1">
      <alignment horizontal="center"/>
    </xf>
    <xf numFmtId="48" fontId="0" fillId="0" borderId="5" xfId="0" applyNumberFormat="1" applyBorder="1" applyAlignment="1">
      <alignment horizontal="center"/>
    </xf>
    <xf numFmtId="48" fontId="0" fillId="0" borderId="4" xfId="0" applyNumberFormat="1" applyBorder="1" applyAlignment="1">
      <alignment horizontal="center"/>
    </xf>
    <xf numFmtId="48" fontId="0" fillId="0" borderId="2" xfId="0" applyNumberFormat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164" fontId="1" fillId="0" borderId="0" xfId="0" applyNumberFormat="1" applyFont="1"/>
    <xf numFmtId="164" fontId="0" fillId="0" borderId="0" xfId="0" applyNumberFormat="1" applyFont="1"/>
    <xf numFmtId="164" fontId="1" fillId="0" borderId="0" xfId="0" applyNumberFormat="1" applyFont="1" applyAlignment="1">
      <alignment horizontal="left" vertical="center" wrapText="1"/>
    </xf>
    <xf numFmtId="164" fontId="1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 indent="1"/>
    </xf>
  </cellXfs>
  <cellStyles count="1">
    <cellStyle name="Normal" xfId="0" builtinId="0"/>
  </cellStyles>
  <dxfs count="12">
    <dxf>
      <numFmt numFmtId="16" formatCode="##0.0E+0"/>
      <alignment horizontal="center" vertical="bottom" textRotation="0" wrapText="0" indent="0" justifyLastLine="0" shrinkToFit="0" readingOrder="0"/>
    </dxf>
    <dxf>
      <numFmt numFmtId="16" formatCode="##0.0E+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16" formatCode="##0.0E+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" formatCode="##0.0E+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" formatCode="##0.0E+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5" formatCode="0.0000%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9</xdr:row>
      <xdr:rowOff>19050</xdr:rowOff>
    </xdr:from>
    <xdr:to>
      <xdr:col>4</xdr:col>
      <xdr:colOff>819150</xdr:colOff>
      <xdr:row>12</xdr:row>
      <xdr:rowOff>171450</xdr:rowOff>
    </xdr:to>
    <xdr:sp macro="" textlink="">
      <xdr:nvSpPr>
        <xdr:cNvPr id="2" name="TextBox 1"/>
        <xdr:cNvSpPr txBox="1"/>
      </xdr:nvSpPr>
      <xdr:spPr>
        <a:xfrm>
          <a:off x="142875" y="1733550"/>
          <a:ext cx="4991100" cy="723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/>
            <a:t>Date: 2015</a:t>
          </a:r>
          <a:r>
            <a:rPr lang="en-US" sz="2800" baseline="0"/>
            <a:t> / 01 / 28</a:t>
          </a:r>
          <a:endParaRPr lang="en-US" sz="28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H7" totalsRowShown="0" headerRowDxfId="11" headerRowBorderDxfId="10" tableBorderDxfId="9" totalsRowBorderDxfId="8">
  <autoFilter ref="A1:H7"/>
  <tableColumns count="8">
    <tableColumn id="1" name="Phase" dataDxfId="7"/>
    <tableColumn id="2" name="Total % TVE" dataDxfId="6">
      <calculatedColumnFormula>(D2^2+E2^2+F2^2+G2^2+H2^2)^0.5</calculatedColumnFormula>
    </tableColumn>
    <tableColumn id="3" name="Column1" dataDxfId="5"/>
    <tableColumn id="4" name="gain factor uncertainty " dataDxfId="4"/>
    <tableColumn id="5" name="HP3458 RMS uncertainty" dataDxfId="3"/>
    <tableColumn id="6" name="Sin (delay uncertainty)" dataDxfId="2"/>
    <tableColumn id="7" name="CT gain uncertainty" dataDxfId="1"/>
    <tableColumn id="8" name="Delay Estimate" dataDxfId="0">
      <calculatedColumnFormula>($G$10*$H$11*360)/0.573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tabSelected="1" workbookViewId="0"/>
  </sheetViews>
  <sheetFormatPr defaultColWidth="9.140625" defaultRowHeight="15" x14ac:dyDescent="0.25"/>
  <cols>
    <col min="1" max="1" width="10.140625" style="2" customWidth="1"/>
    <col min="2" max="2" width="14.7109375" style="3" bestFit="1" customWidth="1"/>
    <col min="3" max="21" width="11.5703125" style="3" bestFit="1" customWidth="1"/>
    <col min="22" max="22" width="12.7109375" style="3" customWidth="1"/>
    <col min="23" max="25" width="11" style="3" customWidth="1"/>
    <col min="26" max="16384" width="9.140625" style="3"/>
  </cols>
  <sheetData>
    <row r="1" spans="1:27" s="1" customFormat="1" x14ac:dyDescent="0.25"/>
    <row r="2" spans="1:27" s="4" customFormat="1" x14ac:dyDescent="0.25">
      <c r="A2" s="33"/>
      <c r="Z2" s="25"/>
      <c r="AA2" s="25"/>
    </row>
    <row r="3" spans="1:27" s="4" customFormat="1" x14ac:dyDescent="0.25">
      <c r="A3" s="33"/>
      <c r="Z3" s="25"/>
      <c r="AA3" s="25"/>
    </row>
    <row r="4" spans="1:27" s="4" customFormat="1" x14ac:dyDescent="0.25">
      <c r="A4" s="33"/>
      <c r="Z4" s="25"/>
      <c r="AA4" s="25"/>
    </row>
    <row r="5" spans="1:27" s="4" customFormat="1" x14ac:dyDescent="0.25">
      <c r="A5" s="33"/>
      <c r="Z5" s="25"/>
      <c r="AA5" s="25"/>
    </row>
    <row r="6" spans="1:27" s="4" customFormat="1" x14ac:dyDescent="0.25">
      <c r="A6" s="33"/>
      <c r="Z6" s="25"/>
      <c r="AA6" s="25"/>
    </row>
    <row r="7" spans="1:27" s="4" customFormat="1" x14ac:dyDescent="0.25">
      <c r="A7" s="33"/>
      <c r="Z7" s="25"/>
      <c r="AA7" s="25"/>
    </row>
    <row r="8" spans="1:27" s="4" customFormat="1" x14ac:dyDescent="0.25">
      <c r="A8" s="33"/>
      <c r="Z8" s="25"/>
      <c r="AA8" s="25"/>
    </row>
    <row r="9" spans="1:27" s="4" customFormat="1" x14ac:dyDescent="0.25">
      <c r="A9" s="33"/>
      <c r="Z9" s="25"/>
      <c r="AA9" s="25"/>
    </row>
    <row r="10" spans="1:27" s="4" customFormat="1" x14ac:dyDescent="0.25">
      <c r="A10" s="33"/>
    </row>
    <row r="11" spans="1:27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3" spans="1:27" x14ac:dyDescent="0.25">
      <c r="C13" s="2"/>
      <c r="D13" s="4"/>
      <c r="E13" s="4"/>
      <c r="F13" s="4"/>
    </row>
    <row r="14" spans="1:27" x14ac:dyDescent="0.25">
      <c r="D14" s="4"/>
      <c r="E14" s="4"/>
      <c r="F14" s="4"/>
    </row>
    <row r="15" spans="1:27" x14ac:dyDescent="0.25">
      <c r="C15" s="2"/>
      <c r="D15" s="4"/>
      <c r="E15" s="4"/>
      <c r="F15" s="4"/>
    </row>
    <row r="16" spans="1:27" x14ac:dyDescent="0.25"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27" x14ac:dyDescent="0.25">
      <c r="A17" s="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27" s="4" customFormat="1" ht="32.25" customHeight="1" x14ac:dyDescent="0.25">
      <c r="A18" s="26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ColWidth="9.140625" defaultRowHeight="15" x14ac:dyDescent="0.25"/>
  <cols>
    <col min="1" max="1" width="11.140625" style="2" customWidth="1"/>
    <col min="2" max="2" width="14.7109375" style="3" bestFit="1" customWidth="1"/>
    <col min="3" max="4" width="11.5703125" style="3" bestFit="1" customWidth="1"/>
    <col min="5" max="23" width="11.7109375" style="3" bestFit="1" customWidth="1"/>
    <col min="24" max="27" width="9.5703125" style="3" bestFit="1" customWidth="1"/>
    <col min="28" max="16384" width="9.140625" style="3"/>
  </cols>
  <sheetData>
    <row r="1" spans="1:27" s="1" customFormat="1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</row>
    <row r="2" spans="1:27" x14ac:dyDescent="0.25">
      <c r="A2" s="3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25"/>
      <c r="AA2" s="25"/>
    </row>
    <row r="3" spans="1:27" x14ac:dyDescent="0.25">
      <c r="A3" s="3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25"/>
      <c r="AA3" s="25"/>
    </row>
    <row r="4" spans="1:27" x14ac:dyDescent="0.25">
      <c r="A4" s="3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25"/>
      <c r="AA4" s="25"/>
    </row>
    <row r="5" spans="1:27" x14ac:dyDescent="0.25">
      <c r="A5" s="3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25"/>
      <c r="AA5" s="25"/>
    </row>
    <row r="6" spans="1:27" x14ac:dyDescent="0.25">
      <c r="A6" s="3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25"/>
      <c r="AA6" s="25"/>
    </row>
    <row r="7" spans="1:27" x14ac:dyDescent="0.25">
      <c r="A7" s="3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25"/>
      <c r="AA7" s="25"/>
    </row>
    <row r="8" spans="1:27" x14ac:dyDescent="0.25">
      <c r="A8" s="3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25"/>
      <c r="AA8" s="25"/>
    </row>
    <row r="9" spans="1:27" x14ac:dyDescent="0.25">
      <c r="A9" s="3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25"/>
      <c r="AA9" s="25"/>
    </row>
    <row r="10" spans="1:27" x14ac:dyDescent="0.25">
      <c r="A10" s="3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x14ac:dyDescent="0.25"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25"/>
      <c r="W11" s="4"/>
    </row>
    <row r="13" spans="1:27" x14ac:dyDescent="0.25">
      <c r="C13" s="2"/>
      <c r="D13" s="4"/>
      <c r="E13" s="4"/>
      <c r="F13" s="4"/>
    </row>
    <row r="14" spans="1:27" x14ac:dyDescent="0.25">
      <c r="D14" s="4"/>
      <c r="E14" s="4"/>
      <c r="F14" s="4"/>
    </row>
    <row r="15" spans="1:27" x14ac:dyDescent="0.25">
      <c r="C15" s="2"/>
      <c r="D15" s="4"/>
      <c r="E15" s="4"/>
      <c r="F15" s="4"/>
    </row>
    <row r="16" spans="1:27" x14ac:dyDescent="0.25"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27" x14ac:dyDescent="0.25">
      <c r="A17" s="5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27" ht="16.5" customHeight="1" x14ac:dyDescent="0.25">
      <c r="A18" s="5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0.5703125" style="8" customWidth="1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s="3" customFormat="1" x14ac:dyDescent="0.25">
      <c r="A12" s="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9.140625" style="8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s="3" customFormat="1" x14ac:dyDescent="0.25">
      <c r="A12" s="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0.85546875" style="8" customWidth="1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s="3" customFormat="1" x14ac:dyDescent="0.25">
      <c r="A12" s="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0.85546875" style="8" customWidth="1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s="3" customFormat="1" x14ac:dyDescent="0.25">
      <c r="A12" s="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2.140625" style="8" customWidth="1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s="3" customFormat="1" x14ac:dyDescent="0.25">
      <c r="A12" s="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1.140625" style="8" customWidth="1"/>
  </cols>
  <sheetData>
    <row r="1" spans="1:23" s="6" customFormat="1" x14ac:dyDescent="0.25"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11" spans="1:23" s="3" customFormat="1" x14ac:dyDescent="0.25">
      <c r="A11" s="2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2"/>
      <c r="B12" s="3"/>
      <c r="C12" s="3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C13" s="8"/>
    </row>
    <row r="15" spans="1:23" x14ac:dyDescent="0.25">
      <c r="C15" s="8"/>
    </row>
    <row r="18" spans="1:27" s="3" customFormat="1" ht="15.75" customHeight="1" x14ac:dyDescent="0.25">
      <c r="A18" s="5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cols>
    <col min="1" max="1" width="13.5703125" customWidth="1"/>
  </cols>
  <sheetData>
    <row r="1" spans="1:23" x14ac:dyDescent="0.2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1:23" x14ac:dyDescent="0.25">
      <c r="A2" s="8"/>
    </row>
    <row r="3" spans="1:23" x14ac:dyDescent="0.25">
      <c r="A3" s="8"/>
    </row>
    <row r="4" spans="1:23" x14ac:dyDescent="0.25">
      <c r="A4" s="8"/>
    </row>
    <row r="5" spans="1:23" x14ac:dyDescent="0.25">
      <c r="A5" s="8"/>
    </row>
    <row r="6" spans="1:23" x14ac:dyDescent="0.25">
      <c r="A6" s="8"/>
    </row>
    <row r="7" spans="1:23" x14ac:dyDescent="0.25">
      <c r="A7" s="8"/>
    </row>
    <row r="8" spans="1:23" x14ac:dyDescent="0.25">
      <c r="A8" s="8"/>
    </row>
    <row r="9" spans="1:23" x14ac:dyDescent="0.25">
      <c r="A9" s="8"/>
    </row>
    <row r="10" spans="1:23" x14ac:dyDescent="0.25">
      <c r="A10" s="8"/>
    </row>
    <row r="11" spans="1:23" x14ac:dyDescent="0.25">
      <c r="A11" s="2"/>
      <c r="B11" s="3"/>
      <c r="C11" s="3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2"/>
      <c r="B12" s="3"/>
      <c r="C12" s="3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8"/>
      <c r="C13" s="8"/>
    </row>
    <row r="14" spans="1:23" x14ac:dyDescent="0.25">
      <c r="A14" s="8"/>
    </row>
    <row r="15" spans="1:23" x14ac:dyDescent="0.25">
      <c r="A15" s="8"/>
      <c r="C15" s="8"/>
    </row>
    <row r="16" spans="1:23" x14ac:dyDescent="0.25">
      <c r="A16" s="8"/>
    </row>
    <row r="17" spans="1:27" x14ac:dyDescent="0.25">
      <c r="A17" s="8"/>
    </row>
    <row r="18" spans="1:27" x14ac:dyDescent="0.25">
      <c r="A18" s="5"/>
      <c r="B18" s="3"/>
      <c r="C18" s="3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3"/>
      <c r="U18" s="3"/>
      <c r="V18" s="3"/>
      <c r="W18" s="3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8:AA20"/>
  <sheetViews>
    <sheetView workbookViewId="0"/>
  </sheetViews>
  <sheetFormatPr defaultRowHeight="15" x14ac:dyDescent="0.25"/>
  <sheetData>
    <row r="18" spans="1:27" ht="29.25" customHeight="1" x14ac:dyDescent="0.25">
      <c r="A18" s="27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20"/>
  <sheetViews>
    <sheetView workbookViewId="0"/>
  </sheetViews>
  <sheetFormatPr defaultRowHeight="15" x14ac:dyDescent="0.25"/>
  <sheetData>
    <row r="1" spans="1:23" x14ac:dyDescent="0.2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</row>
    <row r="2" spans="1:23" x14ac:dyDescent="0.25">
      <c r="A2" s="8"/>
    </row>
    <row r="3" spans="1:23" x14ac:dyDescent="0.25">
      <c r="A3" s="8"/>
    </row>
    <row r="4" spans="1:23" x14ac:dyDescent="0.25">
      <c r="A4" s="8"/>
    </row>
    <row r="5" spans="1:23" x14ac:dyDescent="0.25">
      <c r="A5" s="8"/>
    </row>
    <row r="6" spans="1:23" x14ac:dyDescent="0.25">
      <c r="A6" s="8"/>
    </row>
    <row r="7" spans="1:23" x14ac:dyDescent="0.25">
      <c r="A7" s="8"/>
    </row>
    <row r="8" spans="1:23" x14ac:dyDescent="0.25">
      <c r="A8" s="8"/>
    </row>
    <row r="9" spans="1:23" x14ac:dyDescent="0.25">
      <c r="A9" s="8"/>
    </row>
    <row r="10" spans="1:23" x14ac:dyDescent="0.25">
      <c r="A10" s="8"/>
    </row>
    <row r="11" spans="1:23" x14ac:dyDescent="0.25">
      <c r="A11" s="2"/>
      <c r="B11" s="3"/>
      <c r="C11" s="3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</row>
    <row r="12" spans="1:23" x14ac:dyDescent="0.25">
      <c r="A12" s="2"/>
      <c r="B12" s="3"/>
      <c r="C12" s="3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</row>
    <row r="13" spans="1:23" x14ac:dyDescent="0.25">
      <c r="A13" s="8"/>
      <c r="C13" s="8"/>
    </row>
    <row r="14" spans="1:23" x14ac:dyDescent="0.25">
      <c r="A14" s="8"/>
    </row>
    <row r="15" spans="1:23" x14ac:dyDescent="0.25">
      <c r="A15" s="8"/>
      <c r="C15" s="8"/>
    </row>
    <row r="16" spans="1:23" x14ac:dyDescent="0.25">
      <c r="A16" s="8"/>
    </row>
    <row r="17" spans="1:27" x14ac:dyDescent="0.25">
      <c r="A17" s="8"/>
    </row>
    <row r="18" spans="1:27" x14ac:dyDescent="0.25">
      <c r="A18" s="5"/>
      <c r="B18" s="3"/>
      <c r="C18" s="3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3"/>
      <c r="U18" s="3"/>
      <c r="V18" s="3"/>
      <c r="W18" s="3"/>
    </row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9:AA20"/>
  <sheetViews>
    <sheetView workbookViewId="0"/>
  </sheetViews>
  <sheetFormatPr defaultRowHeight="15" x14ac:dyDescent="0.25"/>
  <sheetData>
    <row r="19" spans="1:27" s="2" customFormat="1" x14ac:dyDescent="0.25">
      <c r="B19" s="2" t="s">
        <v>17</v>
      </c>
      <c r="C19" s="2" t="s">
        <v>25</v>
      </c>
      <c r="D19" s="2" t="s">
        <v>26</v>
      </c>
      <c r="E19" s="2" t="s">
        <v>18</v>
      </c>
      <c r="F19" s="2" t="s">
        <v>27</v>
      </c>
      <c r="G19" s="2" t="s">
        <v>28</v>
      </c>
      <c r="H19" s="2" t="s">
        <v>19</v>
      </c>
      <c r="I19" s="2" t="s">
        <v>29</v>
      </c>
      <c r="J19" s="2" t="s">
        <v>30</v>
      </c>
      <c r="K19" s="2" t="s">
        <v>20</v>
      </c>
      <c r="L19" s="2" t="s">
        <v>31</v>
      </c>
      <c r="M19" s="2" t="s">
        <v>32</v>
      </c>
      <c r="N19" s="2" t="s">
        <v>33</v>
      </c>
      <c r="O19" s="2" t="s">
        <v>36</v>
      </c>
      <c r="P19" s="2" t="s">
        <v>35</v>
      </c>
      <c r="Q19" s="2" t="s">
        <v>21</v>
      </c>
      <c r="R19" s="2" t="s">
        <v>34</v>
      </c>
      <c r="S19" s="2" t="s">
        <v>37</v>
      </c>
      <c r="T19" s="2" t="s">
        <v>22</v>
      </c>
      <c r="U19" s="2" t="s">
        <v>38</v>
      </c>
      <c r="V19" s="2" t="s">
        <v>39</v>
      </c>
      <c r="W19" s="2" t="s">
        <v>40</v>
      </c>
      <c r="X19" s="2" t="s">
        <v>41</v>
      </c>
      <c r="Y19" s="2" t="s">
        <v>42</v>
      </c>
      <c r="Z19" s="2" t="s">
        <v>23</v>
      </c>
      <c r="AA19" s="2" t="s">
        <v>24</v>
      </c>
    </row>
    <row r="20" spans="1:27" s="36" customFormat="1" ht="45" x14ac:dyDescent="0.25">
      <c r="A20" s="35" t="s">
        <v>13</v>
      </c>
      <c r="B20" s="37">
        <f>(C$20^2+D$20^2)^0.5</f>
        <v>5.4047244116930605E-2</v>
      </c>
      <c r="C20" s="37">
        <f>(C$9^2+((TypeB!$D$2+TypeB!$G2)*100)^2)^0.5</f>
        <v>5.0990195136018032E-2</v>
      </c>
      <c r="D20" s="37">
        <f>(D9^2+((TypeB!$F$2+TypeB!$H2)*100)^2)^0.5</f>
        <v>1.7919391636601199E-2</v>
      </c>
      <c r="E20" s="37">
        <f>(F$20^2+G$20^2)^0.5</f>
        <v>6.043424471848214E-2</v>
      </c>
      <c r="F20" s="37">
        <f>(F$9^2+((TypeB!$D$3+TypeB!$G3)*100)^2)^0.5</f>
        <v>5.761944116368875E-2</v>
      </c>
      <c r="G20" s="37">
        <f>(G9^2+((TypeB!$F$3+TypeB!$H3)*100)^2)^0.5</f>
        <v>1.8229040969771196E-2</v>
      </c>
      <c r="H20" s="37">
        <f>(I$20^2+J$20^2)^0.5</f>
        <v>5.3082781695089044E-2</v>
      </c>
      <c r="I20" s="37">
        <f>(I$9^2+((TypeB!$D$4+TypeB!$G4)*100)^2)^0.5</f>
        <v>5.0199601591927531E-2</v>
      </c>
      <c r="J20" s="37">
        <f>(J9^2+((TypeB!$F$4+TypeB!$H$4)*100)^2)^0.5</f>
        <v>1.7256352815708989E-2</v>
      </c>
      <c r="K20" s="37">
        <f>(L$20^2+M$20^2)^0.5</f>
        <v>4.4532923611851946E-2</v>
      </c>
      <c r="L20" s="37">
        <f>(L$9^2+((TypeB!$D$5+TypeB!$G5)*100)^2)^0.5</f>
        <v>2.6497027272918392E-2</v>
      </c>
      <c r="M20" s="37">
        <f>(M9^2+((TypeB!$F$5+TypeB!$H$5)*100)^2)^0.5</f>
        <v>3.5792301282779507E-2</v>
      </c>
      <c r="N20" s="37">
        <f>(O$20^2+P$20^2)^0.5</f>
        <v>4.5693972953353361E-2</v>
      </c>
      <c r="O20" s="37">
        <f>(O$9^2+((TypeB!$D$6+TypeB!$G6)*100)^2)^0.5</f>
        <v>2.8342813679645119E-2</v>
      </c>
      <c r="P20" s="37">
        <f>(P9^2+((TypeB!$F$6+TypeB!$H$6)*100)^2)^0.5</f>
        <v>3.5841652821580514E-2</v>
      </c>
      <c r="Q20" s="37">
        <f>(R$20^2+S$20^2)^0.5</f>
        <v>4.5879359292178901E-2</v>
      </c>
      <c r="R20" s="37">
        <f>(R$9^2+((TypeB!$D$7+TypeB!$G7)*100)^2)^0.5</f>
        <v>2.8780174872843067E-2</v>
      </c>
      <c r="S20" s="37">
        <f>(S9^2+((TypeB!$F$7+TypeB!$H$7)*100)^2)^0.5</f>
        <v>3.5729779503229725E-2</v>
      </c>
      <c r="T20" s="37">
        <f>(U$20^2+V$20^2)^0.5</f>
        <v>5.5849445581352651E-2</v>
      </c>
      <c r="U20" s="37">
        <f>(U$9^2+((AVERAGE(TypeB!$D$2:$D$4)+AVERAGE(TypeB!$G$2:$G$4))*100)^2)^0.5</f>
        <v>5.2936412630544757E-2</v>
      </c>
      <c r="V20" s="37">
        <f>(V$9^2+((AVERAGE(TypeB!$F$2:$F$4)+AVERAGE(TypeB!$H$2:$H$4))*100)^2)^0.5</f>
        <v>1.7801595140693793E-2</v>
      </c>
      <c r="W20" s="37">
        <f>(X$20^2+Y$20^2)^0.5</f>
        <v>4.5361851741551815E-2</v>
      </c>
      <c r="X20" s="37">
        <f>(X$9^2+((AVERAGE(TypeB!$D$5:$D$7)+AVERAGE(TypeB!$G$5:$G$7))*100)^2)^0.5</f>
        <v>2.787333860846886E-2</v>
      </c>
      <c r="Y20" s="37">
        <f>(Y$9^2+((AVERAGE(TypeB!$F$5:$F$7)+AVERAGE(TypeB!$H$5:$H$7))*100)^2)^0.5</f>
        <v>3.5787911202529915E-2</v>
      </c>
      <c r="Z20" s="36">
        <f>Z9</f>
        <v>0</v>
      </c>
      <c r="AA20" s="36">
        <f>AA9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>
      <selection activeCell="H6" sqref="H6"/>
    </sheetView>
  </sheetViews>
  <sheetFormatPr defaultColWidth="9.140625" defaultRowHeight="15" x14ac:dyDescent="0.25"/>
  <cols>
    <col min="1" max="1" width="9.140625" style="9"/>
    <col min="2" max="2" width="13.7109375" style="12" customWidth="1"/>
    <col min="3" max="3" width="11" style="11" customWidth="1"/>
    <col min="4" max="4" width="30.85546875" style="10" customWidth="1"/>
    <col min="5" max="5" width="24.5703125" style="9" customWidth="1"/>
    <col min="6" max="6" width="24.28515625" style="9" customWidth="1"/>
    <col min="7" max="7" width="23.42578125" style="9" customWidth="1"/>
    <col min="8" max="8" width="22.140625" style="9" customWidth="1"/>
    <col min="9" max="16384" width="9.140625" style="9"/>
  </cols>
  <sheetData>
    <row r="1" spans="1:8" s="18" customFormat="1" x14ac:dyDescent="0.25">
      <c r="A1" s="24" t="s">
        <v>12</v>
      </c>
      <c r="B1" s="23" t="s">
        <v>11</v>
      </c>
      <c r="C1" s="22" t="s">
        <v>10</v>
      </c>
      <c r="D1" s="21" t="s">
        <v>9</v>
      </c>
      <c r="E1" s="20" t="s">
        <v>8</v>
      </c>
      <c r="F1" s="20" t="s">
        <v>7</v>
      </c>
      <c r="G1" s="19" t="s">
        <v>6</v>
      </c>
      <c r="H1" s="20" t="s">
        <v>14</v>
      </c>
    </row>
    <row r="2" spans="1:8" x14ac:dyDescent="0.25">
      <c r="A2" s="17" t="s">
        <v>5</v>
      </c>
      <c r="B2" s="16">
        <f t="shared" ref="B2:B7" si="0">(D2^2+E2^2+F2^2+G2^2+H2^2)^0.5</f>
        <v>5.2588853707688087E-4</v>
      </c>
      <c r="C2" s="15"/>
      <c r="D2" s="29">
        <v>5.099019513601803E-4</v>
      </c>
      <c r="E2" s="29">
        <v>1.0000000000000001E-5</v>
      </c>
      <c r="F2" s="29">
        <v>1.038012462089439E-4</v>
      </c>
      <c r="G2" s="30">
        <v>0</v>
      </c>
      <c r="H2" s="28">
        <f>(($G$10*$H$10*360)/0.573)/100</f>
        <v>7.5392670157068076E-5</v>
      </c>
    </row>
    <row r="3" spans="1:8" x14ac:dyDescent="0.25">
      <c r="A3" s="17" t="s">
        <v>4</v>
      </c>
      <c r="B3" s="16">
        <f t="shared" si="0"/>
        <v>5.9094092888705113E-4</v>
      </c>
      <c r="C3" s="15"/>
      <c r="D3" s="29">
        <v>5.7619441163688748E-4</v>
      </c>
      <c r="E3" s="29">
        <v>1.0000000000000001E-5</v>
      </c>
      <c r="F3" s="29">
        <v>1.068977395406439E-4</v>
      </c>
      <c r="G3" s="30">
        <v>0</v>
      </c>
      <c r="H3" s="28">
        <f t="shared" ref="H3:H4" si="1">(($G$10*$H$10*360)/0.573)/100</f>
        <v>7.5392670157068076E-5</v>
      </c>
    </row>
    <row r="4" spans="1:8" x14ac:dyDescent="0.25">
      <c r="A4" s="17" t="s">
        <v>3</v>
      </c>
      <c r="B4" s="16">
        <f t="shared" si="0"/>
        <v>5.1693929078441912E-4</v>
      </c>
      <c r="C4" s="15"/>
      <c r="D4" s="29">
        <v>5.0199601591927533E-4</v>
      </c>
      <c r="E4" s="29">
        <v>1.0000000000000001E-5</v>
      </c>
      <c r="F4" s="29">
        <v>9.7170858000021786E-5</v>
      </c>
      <c r="G4" s="30">
        <v>0</v>
      </c>
      <c r="H4" s="28">
        <f t="shared" si="1"/>
        <v>7.5392670157068076E-5</v>
      </c>
    </row>
    <row r="5" spans="1:8" x14ac:dyDescent="0.25">
      <c r="A5" s="17" t="s">
        <v>2</v>
      </c>
      <c r="B5" s="16">
        <f t="shared" si="0"/>
        <v>3.5811037134812106E-4</v>
      </c>
      <c r="C5" s="15"/>
      <c r="D5" s="29">
        <v>2.4322170955825236E-4</v>
      </c>
      <c r="E5" s="29">
        <v>1.0000000000000001E-5</v>
      </c>
      <c r="F5" s="29">
        <v>1.3174500235659079E-4</v>
      </c>
      <c r="G5" s="30">
        <v>2.174856317093157E-5</v>
      </c>
      <c r="H5" s="28">
        <f>(($G$10*$H$11*360)/0.573)/100</f>
        <v>2.2617801047120423E-4</v>
      </c>
    </row>
    <row r="6" spans="1:8" x14ac:dyDescent="0.25">
      <c r="A6" s="17" t="s">
        <v>1</v>
      </c>
      <c r="B6" s="16">
        <f t="shared" si="0"/>
        <v>3.7281682454356877E-4</v>
      </c>
      <c r="C6" s="15"/>
      <c r="D6" s="29">
        <v>2.6435809047593411E-4</v>
      </c>
      <c r="E6" s="29">
        <v>1.0000000000000001E-5</v>
      </c>
      <c r="F6" s="29">
        <v>1.3223851774460093E-4</v>
      </c>
      <c r="G6" s="30">
        <v>1.9070046320517072E-5</v>
      </c>
      <c r="H6" s="28">
        <f t="shared" ref="H6:H7" si="2">(($G$10*$H$11*360)/0.573)/100</f>
        <v>2.2617801047120423E-4</v>
      </c>
    </row>
    <row r="7" spans="1:8" x14ac:dyDescent="0.25">
      <c r="A7" s="14" t="s">
        <v>0</v>
      </c>
      <c r="B7" s="16">
        <f t="shared" si="0"/>
        <v>3.7486178384989465E-4</v>
      </c>
      <c r="C7" s="13"/>
      <c r="D7" s="31">
        <v>2.6771029117387114E-4</v>
      </c>
      <c r="E7" s="31">
        <v>1.0000000000000001E-5</v>
      </c>
      <c r="F7" s="31">
        <v>1.3111978456109306E-4</v>
      </c>
      <c r="G7" s="32">
        <v>2.0091457554559516E-5</v>
      </c>
      <c r="H7" s="28">
        <f t="shared" si="2"/>
        <v>2.2617801047120423E-4</v>
      </c>
    </row>
    <row r="9" spans="1:8" x14ac:dyDescent="0.25">
      <c r="G9" s="9" t="s">
        <v>15</v>
      </c>
      <c r="H9" s="9" t="s">
        <v>16</v>
      </c>
    </row>
    <row r="10" spans="1:8" x14ac:dyDescent="0.25">
      <c r="G10" s="9">
        <v>60</v>
      </c>
      <c r="H10" s="28">
        <v>1.9999999999999999E-7</v>
      </c>
    </row>
    <row r="11" spans="1:8" x14ac:dyDescent="0.25">
      <c r="H11" s="28">
        <v>5.9999999999999997E-7</v>
      </c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FreqRng</vt:lpstr>
      <vt:lpstr>MagRng</vt:lpstr>
      <vt:lpstr>Harmonics</vt:lpstr>
      <vt:lpstr>OOB</vt:lpstr>
      <vt:lpstr>FreqRamp Pos</vt:lpstr>
      <vt:lpstr>FreqRamp Neg</vt:lpstr>
      <vt:lpstr>PM</vt:lpstr>
      <vt:lpstr>AM</vt:lpstr>
      <vt:lpstr>Phase Step Pos</vt:lpstr>
      <vt:lpstr>Phase Step Neg</vt:lpstr>
      <vt:lpstr>Mag Step Pos</vt:lpstr>
      <vt:lpstr>Mag Step Neg</vt:lpstr>
      <vt:lpstr>TypeB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2015-04-22T19:03:12Z</dcterms:modified>
</cp:coreProperties>
</file>