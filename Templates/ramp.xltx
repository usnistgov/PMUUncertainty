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90" windowWidth="22035" windowHeight="10290"/>
  </bookViews>
  <sheets>
    <sheet name="Data" sheetId="1" r:id="rId1"/>
    <sheet name="Plots" sheetId="2" r:id="rId2"/>
    <sheet name="Statistics" sheetId="3" r:id="rId3"/>
  </sheets>
  <calcPr calcId="125725"/>
</workbook>
</file>

<file path=xl/calcChain.xml><?xml version="1.0" encoding="utf-8"?>
<calcChain xmlns="http://schemas.openxmlformats.org/spreadsheetml/2006/main">
  <c r="W2" i="3"/>
  <c r="W3"/>
  <c r="W4"/>
  <c r="W5"/>
  <c r="W7" s="1"/>
  <c r="W6"/>
  <c r="E2"/>
  <c r="F2"/>
  <c r="G2"/>
  <c r="H2"/>
  <c r="I2"/>
  <c r="J2"/>
  <c r="K2"/>
  <c r="L2"/>
  <c r="M2"/>
  <c r="N2"/>
  <c r="O2"/>
  <c r="P2"/>
  <c r="Q2"/>
  <c r="R2"/>
  <c r="S2"/>
  <c r="T2"/>
  <c r="U2"/>
  <c r="V2"/>
  <c r="E3"/>
  <c r="F3"/>
  <c r="G3"/>
  <c r="H3"/>
  <c r="I3"/>
  <c r="J3"/>
  <c r="K3"/>
  <c r="L3"/>
  <c r="M3"/>
  <c r="N3"/>
  <c r="O3"/>
  <c r="P3"/>
  <c r="Q3"/>
  <c r="R3"/>
  <c r="S3"/>
  <c r="T3"/>
  <c r="U3"/>
  <c r="V3"/>
  <c r="E4"/>
  <c r="F4"/>
  <c r="G4"/>
  <c r="H4"/>
  <c r="I4"/>
  <c r="J4"/>
  <c r="K4"/>
  <c r="L4"/>
  <c r="M4"/>
  <c r="N4"/>
  <c r="O4"/>
  <c r="P4"/>
  <c r="Q4"/>
  <c r="R4"/>
  <c r="S4"/>
  <c r="T4"/>
  <c r="U4"/>
  <c r="V4"/>
  <c r="E5"/>
  <c r="F5"/>
  <c r="G5"/>
  <c r="H5"/>
  <c r="I5"/>
  <c r="J5"/>
  <c r="K5"/>
  <c r="L5"/>
  <c r="M5"/>
  <c r="N5"/>
  <c r="O5"/>
  <c r="P5"/>
  <c r="Q5"/>
  <c r="R5"/>
  <c r="S5"/>
  <c r="T5"/>
  <c r="U5"/>
  <c r="V5"/>
  <c r="E6"/>
  <c r="F6"/>
  <c r="G6"/>
  <c r="H6"/>
  <c r="I6"/>
  <c r="J6"/>
  <c r="K6"/>
  <c r="L6"/>
  <c r="M6"/>
  <c r="N6"/>
  <c r="O6"/>
  <c r="P6"/>
  <c r="Q6"/>
  <c r="R6"/>
  <c r="S6"/>
  <c r="T6"/>
  <c r="U6"/>
  <c r="V6"/>
  <c r="E7"/>
  <c r="F7"/>
  <c r="G7"/>
  <c r="H7"/>
  <c r="I7"/>
  <c r="J7"/>
  <c r="K7"/>
  <c r="L7"/>
  <c r="M7"/>
  <c r="N7"/>
  <c r="O7"/>
  <c r="P7"/>
  <c r="Q7"/>
  <c r="R7"/>
  <c r="S7"/>
  <c r="T7"/>
  <c r="U7"/>
  <c r="V7"/>
  <c r="C5"/>
  <c r="D5"/>
  <c r="D7" s="1"/>
  <c r="B5"/>
  <c r="C2"/>
  <c r="D2"/>
  <c r="C3"/>
  <c r="D3"/>
  <c r="C4"/>
  <c r="D4"/>
  <c r="C7"/>
  <c r="C6"/>
  <c r="D6"/>
  <c r="B6"/>
  <c r="B4"/>
  <c r="B3"/>
  <c r="B2"/>
  <c r="B7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B1"/>
</calcChain>
</file>

<file path=xl/sharedStrings.xml><?xml version="1.0" encoding="utf-8"?>
<sst xmlns="http://schemas.openxmlformats.org/spreadsheetml/2006/main" count="8" uniqueCount="8">
  <si>
    <t>Max</t>
  </si>
  <si>
    <t>Min</t>
  </si>
  <si>
    <t>Mean</t>
  </si>
  <si>
    <t>St.Dev.</t>
  </si>
  <si>
    <t>DOF</t>
  </si>
  <si>
    <t>SD mean</t>
  </si>
  <si>
    <t>Student T</t>
  </si>
  <si>
    <t>Type 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</si>
</sst>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TVE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Data!$C$2:$C$3000</c:f>
              <c:numCache>
                <c:formatCode>General</c:formatCode>
                <c:ptCount val="2999"/>
              </c:numCache>
            </c:numRef>
          </c:yVal>
        </c:ser>
        <c:ser>
          <c:idx val="1"/>
          <c:order val="1"/>
          <c:tx>
            <c:strRef>
              <c:f>Data!$F$1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Data!$F$2:$F$3000</c:f>
              <c:numCache>
                <c:formatCode>General</c:formatCode>
                <c:ptCount val="2999"/>
              </c:numCache>
            </c:numRef>
          </c:yVal>
        </c:ser>
        <c:ser>
          <c:idx val="2"/>
          <c:order val="2"/>
          <c:tx>
            <c:strRef>
              <c:f>Data!$I$1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Plots!$B$2:$B$8</c:f>
              <c:numCache>
                <c:formatCode>General</c:formatCode>
                <c:ptCount val="7"/>
              </c:numCache>
            </c:numRef>
          </c:xVal>
          <c:yVal>
            <c:numRef>
              <c:f>Data!$I$2:$I$3000</c:f>
              <c:numCache>
                <c:formatCode>General</c:formatCode>
                <c:ptCount val="2999"/>
              </c:numCache>
            </c:numRef>
          </c:yVal>
        </c:ser>
        <c:axId val="123242752"/>
        <c:axId val="123241216"/>
      </c:scatterChart>
      <c:valAx>
        <c:axId val="123242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low"/>
        <c:crossAx val="123241216"/>
        <c:crosses val="autoZero"/>
        <c:crossBetween val="midCat"/>
      </c:valAx>
      <c:valAx>
        <c:axId val="123241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TVE (%)</a:t>
                </a:r>
              </a:p>
            </c:rich>
          </c:tx>
          <c:layout/>
        </c:title>
        <c:numFmt formatCode="General" sourceLinked="1"/>
        <c:tickLblPos val="nextTo"/>
        <c:crossAx val="123242752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Mag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Data!$D$1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Data!$D$2:$D$3000</c:f>
              <c:numCache>
                <c:formatCode>General</c:formatCode>
                <c:ptCount val="2999"/>
              </c:numCache>
            </c:numRef>
          </c:yVal>
        </c:ser>
        <c:ser>
          <c:idx val="1"/>
          <c:order val="1"/>
          <c:tx>
            <c:strRef>
              <c:f>Data!$G$1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Data!$G$2:$G$3000</c:f>
              <c:numCache>
                <c:formatCode>General</c:formatCode>
                <c:ptCount val="2999"/>
              </c:numCache>
            </c:numRef>
          </c:yVal>
        </c:ser>
        <c:ser>
          <c:idx val="2"/>
          <c:order val="2"/>
          <c:tx>
            <c:strRef>
              <c:f>Data!$J$1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Plots!$B$2:$B$8</c:f>
              <c:numCache>
                <c:formatCode>General</c:formatCode>
                <c:ptCount val="7"/>
              </c:numCache>
            </c:numRef>
          </c:xVal>
          <c:yVal>
            <c:numRef>
              <c:f>Data!$J$2:$J$3000</c:f>
              <c:numCache>
                <c:formatCode>General</c:formatCode>
                <c:ptCount val="2999"/>
              </c:numCache>
            </c:numRef>
          </c:yVal>
        </c:ser>
        <c:axId val="122966016"/>
        <c:axId val="133907584"/>
      </c:scatterChart>
      <c:valAx>
        <c:axId val="122966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low"/>
        <c:crossAx val="133907584"/>
        <c:crosses val="autoZero"/>
        <c:crossBetween val="midCat"/>
      </c:valAx>
      <c:valAx>
        <c:axId val="133907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 Error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22966016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Voltage Phase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Data!$E$1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Data!$E$2:$E$3000</c:f>
              <c:numCache>
                <c:formatCode>General</c:formatCode>
                <c:ptCount val="2999"/>
              </c:numCache>
            </c:numRef>
          </c:yVal>
        </c:ser>
        <c:ser>
          <c:idx val="1"/>
          <c:order val="1"/>
          <c:tx>
            <c:strRef>
              <c:f>Data!$H$1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Data!$H$2:$H$3000</c:f>
              <c:numCache>
                <c:formatCode>General</c:formatCode>
                <c:ptCount val="2999"/>
              </c:numCache>
            </c:numRef>
          </c:yVal>
        </c:ser>
        <c:ser>
          <c:idx val="2"/>
          <c:order val="2"/>
          <c:tx>
            <c:strRef>
              <c:f>Data!$K$1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Plots!$B$2:$B$8</c:f>
              <c:numCache>
                <c:formatCode>General</c:formatCode>
                <c:ptCount val="7"/>
              </c:numCache>
            </c:numRef>
          </c:xVal>
          <c:yVal>
            <c:numRef>
              <c:f>Data!$K$2:$K$3000</c:f>
              <c:numCache>
                <c:formatCode>General</c:formatCode>
                <c:ptCount val="2999"/>
              </c:numCache>
            </c:numRef>
          </c:yVal>
        </c:ser>
        <c:axId val="51042944"/>
        <c:axId val="74090368"/>
      </c:scatterChart>
      <c:valAx>
        <c:axId val="51042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low"/>
        <c:crossAx val="74090368"/>
        <c:crosses val="autoZero"/>
        <c:crossBetween val="midCat"/>
      </c:valAx>
      <c:valAx>
        <c:axId val="740903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Phase Error</a:t>
                </a:r>
                <a:r>
                  <a:rPr lang="en-US" baseline="0"/>
                  <a:t> (degrees)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51042944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TVE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Data!$L$1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Data!$L$2:$L$3000</c:f>
              <c:numCache>
                <c:formatCode>General</c:formatCode>
                <c:ptCount val="2999"/>
              </c:numCache>
            </c:numRef>
          </c:yVal>
        </c:ser>
        <c:ser>
          <c:idx val="1"/>
          <c:order val="1"/>
          <c:tx>
            <c:strRef>
              <c:f>Data!$O$1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Data!$O$2:$O$3000</c:f>
              <c:numCache>
                <c:formatCode>General</c:formatCode>
                <c:ptCount val="2999"/>
              </c:numCache>
            </c:numRef>
          </c:yVal>
        </c:ser>
        <c:ser>
          <c:idx val="2"/>
          <c:order val="2"/>
          <c:tx>
            <c:strRef>
              <c:f>Data!$R$1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Plots!$B$2:$B$8</c:f>
              <c:numCache>
                <c:formatCode>General</c:formatCode>
                <c:ptCount val="7"/>
              </c:numCache>
            </c:numRef>
          </c:xVal>
          <c:yVal>
            <c:numRef>
              <c:f>Data!$R$2:$R$3000</c:f>
              <c:numCache>
                <c:formatCode>General</c:formatCode>
                <c:ptCount val="2999"/>
              </c:numCache>
            </c:numRef>
          </c:yVal>
        </c:ser>
        <c:axId val="50716672"/>
        <c:axId val="74297728"/>
      </c:scatterChart>
      <c:valAx>
        <c:axId val="50716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low"/>
        <c:crossAx val="74297728"/>
        <c:crosses val="autoZero"/>
        <c:crossBetween val="midCat"/>
      </c:valAx>
      <c:valAx>
        <c:axId val="742977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TVE (%)</a:t>
                </a:r>
              </a:p>
            </c:rich>
          </c:tx>
          <c:layout/>
        </c:title>
        <c:numFmt formatCode="General" sourceLinked="1"/>
        <c:tickLblPos val="nextTo"/>
        <c:crossAx val="50716672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Mag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Data!$M$2:$M$3000</c:f>
              <c:numCache>
                <c:formatCode>General</c:formatCode>
                <c:ptCount val="2999"/>
              </c:numCache>
            </c:numRef>
          </c:yVal>
        </c:ser>
        <c:ser>
          <c:idx val="1"/>
          <c:order val="1"/>
          <c:tx>
            <c:strRef>
              <c:f>Data!$P$1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Data!$P$2:$P$3000</c:f>
              <c:numCache>
                <c:formatCode>General</c:formatCode>
                <c:ptCount val="2999"/>
              </c:numCache>
            </c:numRef>
          </c:yVal>
        </c:ser>
        <c:ser>
          <c:idx val="2"/>
          <c:order val="2"/>
          <c:tx>
            <c:strRef>
              <c:f>Data!$S$1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Plots!$B$2:$B$8</c:f>
              <c:numCache>
                <c:formatCode>General</c:formatCode>
                <c:ptCount val="7"/>
              </c:numCache>
            </c:numRef>
          </c:xVal>
          <c:yVal>
            <c:numRef>
              <c:f>Data!$S$2:$S$3000</c:f>
              <c:numCache>
                <c:formatCode>General</c:formatCode>
                <c:ptCount val="2999"/>
              </c:numCache>
            </c:numRef>
          </c:yVal>
        </c:ser>
        <c:axId val="50411008"/>
        <c:axId val="50435200"/>
      </c:scatterChart>
      <c:valAx>
        <c:axId val="50411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low"/>
        <c:crossAx val="50435200"/>
        <c:crosses val="autoZero"/>
        <c:crossBetween val="midCat"/>
      </c:valAx>
      <c:valAx>
        <c:axId val="504352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Mag Error</a:t>
                </a:r>
                <a:r>
                  <a:rPr lang="en-US" baseline="0"/>
                  <a:t> (amps)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50411008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Current Phase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Data!$N$2:$N$3000</c:f>
              <c:numCache>
                <c:formatCode>General</c:formatCode>
                <c:ptCount val="2999"/>
              </c:numCache>
            </c:numRef>
          </c:yVal>
        </c:ser>
        <c:ser>
          <c:idx val="1"/>
          <c:order val="1"/>
          <c:tx>
            <c:strRef>
              <c:f>Data!$Q$1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Data!$Q$2:$Q$3000</c:f>
              <c:numCache>
                <c:formatCode>General</c:formatCode>
                <c:ptCount val="2999"/>
              </c:numCache>
            </c:numRef>
          </c:yVal>
        </c:ser>
        <c:ser>
          <c:idx val="2"/>
          <c:order val="2"/>
          <c:tx>
            <c:strRef>
              <c:f>Data!$T$1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Plots!$B$2:$B$8</c:f>
              <c:numCache>
                <c:formatCode>General</c:formatCode>
                <c:ptCount val="7"/>
              </c:numCache>
            </c:numRef>
          </c:xVal>
          <c:yVal>
            <c:numRef>
              <c:f>Data!$T$2:$T$3000</c:f>
              <c:numCache>
                <c:formatCode>General</c:formatCode>
                <c:ptCount val="2999"/>
              </c:numCache>
            </c:numRef>
          </c:yVal>
        </c:ser>
        <c:axId val="52082560"/>
        <c:axId val="52107520"/>
      </c:scatterChart>
      <c:valAx>
        <c:axId val="52082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low"/>
        <c:crossAx val="52107520"/>
        <c:crosses val="autoZero"/>
        <c:crossBetween val="midCat"/>
      </c:valAx>
      <c:valAx>
        <c:axId val="521075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Phase Error</a:t>
                </a:r>
                <a:r>
                  <a:rPr lang="en-US" baseline="0"/>
                  <a:t> (degrees)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52082560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Frequency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Data!$U$2:$U$3000</c:f>
              <c:numCache>
                <c:formatCode>General</c:formatCode>
                <c:ptCount val="2999"/>
              </c:numCache>
            </c:numRef>
          </c:yVal>
        </c:ser>
        <c:axId val="51885952"/>
        <c:axId val="52105984"/>
      </c:scatterChart>
      <c:valAx>
        <c:axId val="51885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</c:title>
        <c:numFmt formatCode="General" sourceLinked="1"/>
        <c:tickLblPos val="low"/>
        <c:crossAx val="52105984"/>
        <c:crosses val="autoZero"/>
        <c:crossBetween val="midCat"/>
      </c:valAx>
      <c:valAx>
        <c:axId val="521059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 Error (Hz)</a:t>
                </a:r>
              </a:p>
            </c:rich>
          </c:tx>
          <c:layout/>
        </c:title>
        <c:numFmt formatCode="General" sourceLinked="1"/>
        <c:tickLblPos val="nextTo"/>
        <c:crossAx val="51885952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aseline="0"/>
            </a:pPr>
            <a:r>
              <a:rPr lang="en-US" sz="1200" baseline="0"/>
              <a:t>ROCOF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Data!$V$1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Data!$B$2:$B$3000</c:f>
              <c:numCache>
                <c:formatCode>General</c:formatCode>
                <c:ptCount val="2999"/>
              </c:numCache>
            </c:numRef>
          </c:xVal>
          <c:yVal>
            <c:numRef>
              <c:f>Data!$V$2:$V$3000</c:f>
              <c:numCache>
                <c:formatCode>General</c:formatCode>
                <c:ptCount val="2999"/>
              </c:numCache>
            </c:numRef>
          </c:yVal>
        </c:ser>
        <c:axId val="49336320"/>
        <c:axId val="49979392"/>
      </c:scatterChart>
      <c:valAx>
        <c:axId val="49336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(Hz)</a:t>
                </a:r>
              </a:p>
            </c:rich>
          </c:tx>
          <c:layout/>
        </c:title>
        <c:numFmt formatCode="General" sourceLinked="1"/>
        <c:tickLblPos val="low"/>
        <c:crossAx val="49979392"/>
        <c:crosses val="autoZero"/>
        <c:crossBetween val="midCat"/>
      </c:valAx>
      <c:valAx>
        <c:axId val="499793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ROCOF Error (Hz/s)</a:t>
                </a:r>
              </a:p>
            </c:rich>
          </c:tx>
          <c:layout/>
        </c:title>
        <c:numFmt formatCode="General" sourceLinked="1"/>
        <c:tickLblPos val="nextTo"/>
        <c:crossAx val="49336320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</xdr:row>
      <xdr:rowOff>9525</xdr:rowOff>
    </xdr:from>
    <xdr:to>
      <xdr:col>7</xdr:col>
      <xdr:colOff>419100</xdr:colOff>
      <xdr:row>15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552450</xdr:colOff>
      <xdr:row>1</xdr:row>
      <xdr:rowOff>0</xdr:rowOff>
    </xdr:from>
    <xdr:to>
      <xdr:col>15</xdr:col>
      <xdr:colOff>247650</xdr:colOff>
      <xdr:row>15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419100</xdr:colOff>
      <xdr:row>1</xdr:row>
      <xdr:rowOff>9525</xdr:rowOff>
    </xdr:from>
    <xdr:to>
      <xdr:col>23</xdr:col>
      <xdr:colOff>114300</xdr:colOff>
      <xdr:row>15</xdr:row>
      <xdr:rowOff>85725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16</xdr:row>
      <xdr:rowOff>104775</xdr:rowOff>
    </xdr:from>
    <xdr:to>
      <xdr:col>7</xdr:col>
      <xdr:colOff>457200</xdr:colOff>
      <xdr:row>30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9525</xdr:colOff>
      <xdr:row>16</xdr:row>
      <xdr:rowOff>38100</xdr:rowOff>
    </xdr:from>
    <xdr:to>
      <xdr:col>15</xdr:col>
      <xdr:colOff>314325</xdr:colOff>
      <xdr:row>30</xdr:row>
      <xdr:rowOff>114300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457200</xdr:colOff>
      <xdr:row>16</xdr:row>
      <xdr:rowOff>28575</xdr:rowOff>
    </xdr:from>
    <xdr:to>
      <xdr:col>23</xdr:col>
      <xdr:colOff>152400</xdr:colOff>
      <xdr:row>30</xdr:row>
      <xdr:rowOff>104775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123825</xdr:colOff>
      <xdr:row>32</xdr:row>
      <xdr:rowOff>38100</xdr:rowOff>
    </xdr:from>
    <xdr:to>
      <xdr:col>7</xdr:col>
      <xdr:colOff>428625</xdr:colOff>
      <xdr:row>46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15</xdr:col>
      <xdr:colOff>304800</xdr:colOff>
      <xdr:row>46</xdr:row>
      <xdr:rowOff>76200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3" sqref="I33"/>
    </sheetView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W9"/>
  <sheetViews>
    <sheetView topLeftCell="C1" workbookViewId="0">
      <selection activeCell="W11" sqref="W11"/>
    </sheetView>
  </sheetViews>
  <sheetFormatPr defaultRowHeight="15"/>
  <sheetData>
    <row r="1" spans="1:23">
      <c r="B1" s="1">
        <f>Data!A1</f>
        <v>0</v>
      </c>
      <c r="C1" s="1">
        <f>Data!B1</f>
        <v>0</v>
      </c>
      <c r="D1" s="1">
        <f>Data!C1</f>
        <v>0</v>
      </c>
      <c r="E1" s="1">
        <f>Data!D1</f>
        <v>0</v>
      </c>
      <c r="F1" s="1">
        <f>Data!E1</f>
        <v>0</v>
      </c>
      <c r="G1" s="1">
        <f>Data!F1</f>
        <v>0</v>
      </c>
      <c r="H1" s="1">
        <f>Data!G1</f>
        <v>0</v>
      </c>
      <c r="I1" s="1">
        <f>Data!H1</f>
        <v>0</v>
      </c>
      <c r="J1" s="1">
        <f>Data!I1</f>
        <v>0</v>
      </c>
      <c r="K1" s="1">
        <f>Data!J1</f>
        <v>0</v>
      </c>
      <c r="L1" s="1">
        <f>Data!K1</f>
        <v>0</v>
      </c>
      <c r="M1" s="1">
        <f>Data!L1</f>
        <v>0</v>
      </c>
      <c r="N1" s="1">
        <f>Data!M1</f>
        <v>0</v>
      </c>
      <c r="O1" s="1">
        <f>Data!N1</f>
        <v>0</v>
      </c>
      <c r="P1" s="1">
        <f>Data!O1</f>
        <v>0</v>
      </c>
      <c r="Q1" s="1">
        <f>Data!P1</f>
        <v>0</v>
      </c>
      <c r="R1" s="1">
        <f>Data!Q1</f>
        <v>0</v>
      </c>
      <c r="S1" s="1">
        <f>Data!R1</f>
        <v>0</v>
      </c>
      <c r="T1" s="1">
        <f>Data!S1</f>
        <v>0</v>
      </c>
      <c r="U1" s="1">
        <f>Data!T1</f>
        <v>0</v>
      </c>
      <c r="V1" s="1">
        <f>Data!U1</f>
        <v>0</v>
      </c>
      <c r="W1" s="1">
        <f>Data!V1</f>
        <v>0</v>
      </c>
    </row>
    <row r="2" spans="1:23">
      <c r="A2" t="s">
        <v>0</v>
      </c>
      <c r="B2">
        <f>MAX(Data!A$2:'Data'!A$3000)</f>
        <v>0</v>
      </c>
      <c r="C2">
        <f>MAX(Data!B$2:'Data'!B$3000)</f>
        <v>0</v>
      </c>
      <c r="D2">
        <f>MAX(Data!C$2:'Data'!C$3000)</f>
        <v>0</v>
      </c>
      <c r="E2">
        <f>MAX(Data!D$2:'Data'!D$3000)</f>
        <v>0</v>
      </c>
      <c r="F2">
        <f>MAX(Data!E$2:'Data'!E$3000)</f>
        <v>0</v>
      </c>
      <c r="G2">
        <f>MAX(Data!F$2:'Data'!F$3000)</f>
        <v>0</v>
      </c>
      <c r="H2">
        <f>MAX(Data!G$2:'Data'!G$3000)</f>
        <v>0</v>
      </c>
      <c r="I2">
        <f>MAX(Data!H$2:'Data'!H$3000)</f>
        <v>0</v>
      </c>
      <c r="J2">
        <f>MAX(Data!I$2:'Data'!I$3000)</f>
        <v>0</v>
      </c>
      <c r="K2">
        <f>MAX(Data!J$2:'Data'!J$3000)</f>
        <v>0</v>
      </c>
      <c r="L2">
        <f>MAX(Data!K$2:'Data'!K$3000)</f>
        <v>0</v>
      </c>
      <c r="M2">
        <f>MAX(Data!L$2:'Data'!L$3000)</f>
        <v>0</v>
      </c>
      <c r="N2">
        <f>MAX(Data!M$2:'Data'!M$3000)</f>
        <v>0</v>
      </c>
      <c r="O2">
        <f>MAX(Data!N$2:'Data'!N$3000)</f>
        <v>0</v>
      </c>
      <c r="P2">
        <f>MAX(Data!O$2:'Data'!O$3000)</f>
        <v>0</v>
      </c>
      <c r="Q2">
        <f>MAX(Data!P$2:'Data'!P$3000)</f>
        <v>0</v>
      </c>
      <c r="R2">
        <f>MAX(Data!Q$2:'Data'!Q$3000)</f>
        <v>0</v>
      </c>
      <c r="S2">
        <f>MAX(Data!R$2:'Data'!R$3000)</f>
        <v>0</v>
      </c>
      <c r="T2">
        <f>MAX(Data!S$2:'Data'!S$3000)</f>
        <v>0</v>
      </c>
      <c r="U2">
        <f>MAX(Data!T$2:'Data'!T$3000)</f>
        <v>0</v>
      </c>
      <c r="V2">
        <f>MAX(Data!U$2:'Data'!U$3000)</f>
        <v>0</v>
      </c>
      <c r="W2">
        <f>MAX(Data!V$2:'Data'!V$3000)</f>
        <v>0</v>
      </c>
    </row>
    <row r="3" spans="1:23">
      <c r="A3" t="s">
        <v>1</v>
      </c>
      <c r="B3">
        <f>MIN(Data!A$2:'Data'!A$3000)</f>
        <v>0</v>
      </c>
      <c r="C3">
        <f>MIN(Data!B$2:'Data'!B$3000)</f>
        <v>0</v>
      </c>
      <c r="D3">
        <f>MIN(Data!C$2:'Data'!C$3000)</f>
        <v>0</v>
      </c>
      <c r="E3">
        <f>MIN(Data!D$2:'Data'!D$3000)</f>
        <v>0</v>
      </c>
      <c r="F3">
        <f>MIN(Data!E$2:'Data'!E$3000)</f>
        <v>0</v>
      </c>
      <c r="G3">
        <f>MIN(Data!F$2:'Data'!F$3000)</f>
        <v>0</v>
      </c>
      <c r="H3">
        <f>MIN(Data!G$2:'Data'!G$3000)</f>
        <v>0</v>
      </c>
      <c r="I3">
        <f>MIN(Data!H$2:'Data'!H$3000)</f>
        <v>0</v>
      </c>
      <c r="J3">
        <f>MIN(Data!I$2:'Data'!I$3000)</f>
        <v>0</v>
      </c>
      <c r="K3">
        <f>MIN(Data!J$2:'Data'!J$3000)</f>
        <v>0</v>
      </c>
      <c r="L3">
        <f>MIN(Data!K$2:'Data'!K$3000)</f>
        <v>0</v>
      </c>
      <c r="M3">
        <f>MIN(Data!L$2:'Data'!L$3000)</f>
        <v>0</v>
      </c>
      <c r="N3">
        <f>MIN(Data!M$2:'Data'!M$3000)</f>
        <v>0</v>
      </c>
      <c r="O3">
        <f>MIN(Data!N$2:'Data'!N$3000)</f>
        <v>0</v>
      </c>
      <c r="P3">
        <f>MIN(Data!O$2:'Data'!O$3000)</f>
        <v>0</v>
      </c>
      <c r="Q3">
        <f>MIN(Data!P$2:'Data'!P$3000)</f>
        <v>0</v>
      </c>
      <c r="R3">
        <f>MIN(Data!Q$2:'Data'!Q$3000)</f>
        <v>0</v>
      </c>
      <c r="S3">
        <f>MIN(Data!R$2:'Data'!R$3000)</f>
        <v>0</v>
      </c>
      <c r="T3">
        <f>MIN(Data!S$2:'Data'!S$3000)</f>
        <v>0</v>
      </c>
      <c r="U3">
        <f>MIN(Data!T$2:'Data'!T$3000)</f>
        <v>0</v>
      </c>
      <c r="V3">
        <f>MIN(Data!U$2:'Data'!U$3000)</f>
        <v>0</v>
      </c>
      <c r="W3">
        <f>MIN(Data!V$2:'Data'!V$3000)</f>
        <v>0</v>
      </c>
    </row>
    <row r="4" spans="1:23">
      <c r="A4" t="s">
        <v>2</v>
      </c>
      <c r="B4" t="e">
        <f>AVERAGE(Data!A$2:'Data'!A$3000)</f>
        <v>#DIV/0!</v>
      </c>
      <c r="C4" t="e">
        <f>AVERAGE(Data!B$2:'Data'!B$3000)</f>
        <v>#DIV/0!</v>
      </c>
      <c r="D4" t="e">
        <f>AVERAGE(Data!C$2:'Data'!C$3000)</f>
        <v>#DIV/0!</v>
      </c>
      <c r="E4" t="e">
        <f>AVERAGE(Data!D$2:'Data'!D$3000)</f>
        <v>#DIV/0!</v>
      </c>
      <c r="F4" t="e">
        <f>AVERAGE(Data!E$2:'Data'!E$3000)</f>
        <v>#DIV/0!</v>
      </c>
      <c r="G4" t="e">
        <f>AVERAGE(Data!F$2:'Data'!F$3000)</f>
        <v>#DIV/0!</v>
      </c>
      <c r="H4" t="e">
        <f>AVERAGE(Data!G$2:'Data'!G$3000)</f>
        <v>#DIV/0!</v>
      </c>
      <c r="I4" t="e">
        <f>AVERAGE(Data!H$2:'Data'!H$3000)</f>
        <v>#DIV/0!</v>
      </c>
      <c r="J4" t="e">
        <f>AVERAGE(Data!I$2:'Data'!I$3000)</f>
        <v>#DIV/0!</v>
      </c>
      <c r="K4" t="e">
        <f>AVERAGE(Data!J$2:'Data'!J$3000)</f>
        <v>#DIV/0!</v>
      </c>
      <c r="L4" t="e">
        <f>AVERAGE(Data!K$2:'Data'!K$3000)</f>
        <v>#DIV/0!</v>
      </c>
      <c r="M4" t="e">
        <f>AVERAGE(Data!L$2:'Data'!L$3000)</f>
        <v>#DIV/0!</v>
      </c>
      <c r="N4" t="e">
        <f>AVERAGE(Data!M$2:'Data'!M$3000)</f>
        <v>#DIV/0!</v>
      </c>
      <c r="O4" t="e">
        <f>AVERAGE(Data!N$2:'Data'!N$3000)</f>
        <v>#DIV/0!</v>
      </c>
      <c r="P4" t="e">
        <f>AVERAGE(Data!O$2:'Data'!O$3000)</f>
        <v>#DIV/0!</v>
      </c>
      <c r="Q4" t="e">
        <f>AVERAGE(Data!P$2:'Data'!P$3000)</f>
        <v>#DIV/0!</v>
      </c>
      <c r="R4" t="e">
        <f>AVERAGE(Data!Q$2:'Data'!Q$3000)</f>
        <v>#DIV/0!</v>
      </c>
      <c r="S4" t="e">
        <f>AVERAGE(Data!R$2:'Data'!R$3000)</f>
        <v>#DIV/0!</v>
      </c>
      <c r="T4" t="e">
        <f>AVERAGE(Data!S$2:'Data'!S$3000)</f>
        <v>#DIV/0!</v>
      </c>
      <c r="U4" t="e">
        <f>AVERAGE(Data!T$2:'Data'!T$3000)</f>
        <v>#DIV/0!</v>
      </c>
      <c r="V4" t="e">
        <f>AVERAGE(Data!U$2:'Data'!U$3000)</f>
        <v>#DIV/0!</v>
      </c>
      <c r="W4" t="e">
        <f>AVERAGE(Data!V$2:'Data'!V$3000)</f>
        <v>#DIV/0!</v>
      </c>
    </row>
    <row r="5" spans="1:23">
      <c r="A5" t="s">
        <v>3</v>
      </c>
      <c r="B5" t="e">
        <f>STDEV(Data!A$2:'Data'!A$3000)</f>
        <v>#DIV/0!</v>
      </c>
      <c r="C5" t="e">
        <f>STDEV(Data!B$2:'Data'!B$3000)</f>
        <v>#DIV/0!</v>
      </c>
      <c r="D5" t="e">
        <f>STDEV(Data!C$2:'Data'!C$3000)</f>
        <v>#DIV/0!</v>
      </c>
      <c r="E5" t="e">
        <f>STDEV(Data!D$2:'Data'!D$3000)</f>
        <v>#DIV/0!</v>
      </c>
      <c r="F5" t="e">
        <f>STDEV(Data!E$2:'Data'!E$3000)</f>
        <v>#DIV/0!</v>
      </c>
      <c r="G5" t="e">
        <f>STDEV(Data!F$2:'Data'!F$3000)</f>
        <v>#DIV/0!</v>
      </c>
      <c r="H5" t="e">
        <f>STDEV(Data!G$2:'Data'!G$3000)</f>
        <v>#DIV/0!</v>
      </c>
      <c r="I5" t="e">
        <f>STDEV(Data!H$2:'Data'!H$3000)</f>
        <v>#DIV/0!</v>
      </c>
      <c r="J5" t="e">
        <f>STDEV(Data!I$2:'Data'!I$3000)</f>
        <v>#DIV/0!</v>
      </c>
      <c r="K5" t="e">
        <f>STDEV(Data!J$2:'Data'!J$3000)</f>
        <v>#DIV/0!</v>
      </c>
      <c r="L5" t="e">
        <f>STDEV(Data!K$2:'Data'!K$3000)</f>
        <v>#DIV/0!</v>
      </c>
      <c r="M5" t="e">
        <f>STDEV(Data!L$2:'Data'!L$3000)</f>
        <v>#DIV/0!</v>
      </c>
      <c r="N5" t="e">
        <f>STDEV(Data!M$2:'Data'!M$3000)</f>
        <v>#DIV/0!</v>
      </c>
      <c r="O5" t="e">
        <f>STDEV(Data!N$2:'Data'!N$3000)</f>
        <v>#DIV/0!</v>
      </c>
      <c r="P5" t="e">
        <f>STDEV(Data!O$2:'Data'!O$3000)</f>
        <v>#DIV/0!</v>
      </c>
      <c r="Q5" t="e">
        <f>STDEV(Data!P$2:'Data'!P$3000)</f>
        <v>#DIV/0!</v>
      </c>
      <c r="R5" t="e">
        <f>STDEV(Data!Q$2:'Data'!Q$3000)</f>
        <v>#DIV/0!</v>
      </c>
      <c r="S5" t="e">
        <f>STDEV(Data!R$2:'Data'!R$3000)</f>
        <v>#DIV/0!</v>
      </c>
      <c r="T5" t="e">
        <f>STDEV(Data!S$2:'Data'!S$3000)</f>
        <v>#DIV/0!</v>
      </c>
      <c r="U5" t="e">
        <f>STDEV(Data!T$2:'Data'!T$3000)</f>
        <v>#DIV/0!</v>
      </c>
      <c r="V5" t="e">
        <f>STDEV(Data!U$2:'Data'!U$3000)</f>
        <v>#DIV/0!</v>
      </c>
      <c r="W5" t="e">
        <f>STDEV(Data!V$2:'Data'!V$3000)</f>
        <v>#DIV/0!</v>
      </c>
    </row>
    <row r="6" spans="1:23">
      <c r="A6" t="s">
        <v>4</v>
      </c>
      <c r="B6">
        <f>COUNTA(Data!A$2:'Data'!A$3000)-1</f>
        <v>-1</v>
      </c>
      <c r="C6">
        <f>COUNTA(Data!B$2:'Data'!B$3000)-1</f>
        <v>-1</v>
      </c>
      <c r="D6">
        <f>COUNTA(Data!C$2:'Data'!C$3000)-1</f>
        <v>-1</v>
      </c>
      <c r="E6">
        <f>COUNTA(Data!D$2:'Data'!D$3000)-1</f>
        <v>-1</v>
      </c>
      <c r="F6">
        <f>COUNTA(Data!E$2:'Data'!E$3000)-1</f>
        <v>-1</v>
      </c>
      <c r="G6">
        <f>COUNTA(Data!F$2:'Data'!F$3000)-1</f>
        <v>-1</v>
      </c>
      <c r="H6">
        <f>COUNTA(Data!G$2:'Data'!G$3000)-1</f>
        <v>-1</v>
      </c>
      <c r="I6">
        <f>COUNTA(Data!H$2:'Data'!H$3000)-1</f>
        <v>-1</v>
      </c>
      <c r="J6">
        <f>COUNTA(Data!I$2:'Data'!I$3000)-1</f>
        <v>-1</v>
      </c>
      <c r="K6">
        <f>COUNTA(Data!J$2:'Data'!J$3000)-1</f>
        <v>-1</v>
      </c>
      <c r="L6">
        <f>COUNTA(Data!K$2:'Data'!K$3000)-1</f>
        <v>-1</v>
      </c>
      <c r="M6">
        <f>COUNTA(Data!L$2:'Data'!L$3000)-1</f>
        <v>-1</v>
      </c>
      <c r="N6">
        <f>COUNTA(Data!M$2:'Data'!M$3000)-1</f>
        <v>-1</v>
      </c>
      <c r="O6">
        <f>COUNTA(Data!N$2:'Data'!N$3000)-1</f>
        <v>-1</v>
      </c>
      <c r="P6">
        <f>COUNTA(Data!O$2:'Data'!O$3000)-1</f>
        <v>-1</v>
      </c>
      <c r="Q6">
        <f>COUNTA(Data!P$2:'Data'!P$3000)-1</f>
        <v>-1</v>
      </c>
      <c r="R6">
        <f>COUNTA(Data!Q$2:'Data'!Q$3000)-1</f>
        <v>-1</v>
      </c>
      <c r="S6">
        <f>COUNTA(Data!R$2:'Data'!R$3000)-1</f>
        <v>-1</v>
      </c>
      <c r="T6">
        <f>COUNTA(Data!S$2:'Data'!S$3000)-1</f>
        <v>-1</v>
      </c>
      <c r="U6">
        <f>COUNTA(Data!T$2:'Data'!T$3000)-1</f>
        <v>-1</v>
      </c>
      <c r="V6">
        <f>COUNTA(Data!U$2:'Data'!U$3000)-1</f>
        <v>-1</v>
      </c>
      <c r="W6">
        <f>COUNTA(Data!V$2:'Data'!V$3000)-1</f>
        <v>-1</v>
      </c>
    </row>
    <row r="7" spans="1:23">
      <c r="A7" t="s">
        <v>5</v>
      </c>
      <c r="B7" t="e">
        <f>B5/SQRT(Data!B6+1)</f>
        <v>#DIV/0!</v>
      </c>
      <c r="C7" t="e">
        <f>C5/SQRT(Data!C6+1)</f>
        <v>#DIV/0!</v>
      </c>
      <c r="D7" t="e">
        <f>D5/SQRT(Data!D6+1)</f>
        <v>#DIV/0!</v>
      </c>
      <c r="E7" t="e">
        <f>E5/SQRT(Data!E6+1)</f>
        <v>#DIV/0!</v>
      </c>
      <c r="F7" t="e">
        <f>F5/SQRT(Data!F6+1)</f>
        <v>#DIV/0!</v>
      </c>
      <c r="G7" t="e">
        <f>G5/SQRT(Data!G6+1)</f>
        <v>#DIV/0!</v>
      </c>
      <c r="H7" t="e">
        <f>H5/SQRT(Data!H6+1)</f>
        <v>#DIV/0!</v>
      </c>
      <c r="I7" t="e">
        <f>I5/SQRT(Data!I6+1)</f>
        <v>#DIV/0!</v>
      </c>
      <c r="J7" t="e">
        <f>J5/SQRT(Data!J6+1)</f>
        <v>#DIV/0!</v>
      </c>
      <c r="K7" t="e">
        <f>K5/SQRT(Data!K6+1)</f>
        <v>#DIV/0!</v>
      </c>
      <c r="L7" t="e">
        <f>L5/SQRT(Data!L6+1)</f>
        <v>#DIV/0!</v>
      </c>
      <c r="M7" t="e">
        <f>M5/SQRT(Data!M6+1)</f>
        <v>#DIV/0!</v>
      </c>
      <c r="N7" t="e">
        <f>N5/SQRT(Data!N6+1)</f>
        <v>#DIV/0!</v>
      </c>
      <c r="O7" t="e">
        <f>O5/SQRT(Data!O6+1)</f>
        <v>#DIV/0!</v>
      </c>
      <c r="P7" t="e">
        <f>P5/SQRT(Data!P6+1)</f>
        <v>#DIV/0!</v>
      </c>
      <c r="Q7" t="e">
        <f>Q5/SQRT(Data!Q6+1)</f>
        <v>#DIV/0!</v>
      </c>
      <c r="R7" t="e">
        <f>R5/SQRT(Data!R6+1)</f>
        <v>#DIV/0!</v>
      </c>
      <c r="S7" t="e">
        <f>S5/SQRT(Data!S6+1)</f>
        <v>#DIV/0!</v>
      </c>
      <c r="T7" t="e">
        <f>T5/SQRT(Data!T6+1)</f>
        <v>#DIV/0!</v>
      </c>
      <c r="U7" t="e">
        <f>U5/SQRT(Data!U6+1)</f>
        <v>#DIV/0!</v>
      </c>
      <c r="V7" t="e">
        <f>V5/SQRT(Data!V6+1)</f>
        <v>#DIV/0!</v>
      </c>
      <c r="W7" t="e">
        <f>W5/SQRT(Data!W6+1)</f>
        <v>#DIV/0!</v>
      </c>
    </row>
    <row r="8" spans="1:23" hidden="1">
      <c r="A8" t="s">
        <v>6</v>
      </c>
    </row>
    <row r="9" spans="1:23" hidden="1">
      <c r="A9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Plots</vt:lpstr>
      <vt:lpstr>Statistics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 Goldstein</dc:creator>
  <cp:lastModifiedBy>Allen Goldstein</cp:lastModifiedBy>
  <dcterms:created xsi:type="dcterms:W3CDTF">2013-08-13T16:02:29Z</dcterms:created>
  <dcterms:modified xsi:type="dcterms:W3CDTF">2013-08-13T17:20:21Z</dcterms:modified>
</cp:coreProperties>
</file>